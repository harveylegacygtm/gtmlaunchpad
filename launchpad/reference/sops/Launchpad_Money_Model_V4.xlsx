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ey Model" sheetId="1" r:id="rId5"/>
    <sheet state="visible" name="Infra Calculator" sheetId="2" r:id="rId6"/>
    <sheet state="visible" name="Infra Calc — Personal Email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Default: 90 days. Common values: 30, 90, 180, 365.</t>
      </text>
    </comment>
  </commentList>
</comments>
</file>

<file path=xl/sharedStrings.xml><?xml version="1.0" encoding="utf-8"?>
<sst xmlns="http://schemas.openxmlformats.org/spreadsheetml/2006/main" count="256" uniqueCount="209">
  <si>
    <t>The Launchpad — Money Model</t>
  </si>
  <si>
    <t>Backward math from revenue goal to email volume to infrastructure cost.</t>
  </si>
  <si>
    <t>Edit BLUE cells. Black cells are formulas — don't touch. Yellow cells are diagnostic-only (don't drive math).</t>
  </si>
  <si>
    <t>BENCHMARKS</t>
  </si>
  <si>
    <t>Close rate</t>
  </si>
  <si>
    <t>Qual rate</t>
  </si>
  <si>
    <t>Show rate</t>
  </si>
  <si>
    <t>LTA</t>
  </si>
  <si>
    <t>Reply rate</t>
  </si>
  <si>
    <t>Pos reply rate</t>
  </si>
  <si>
    <t>TIME PERIOD</t>
  </si>
  <si>
    <t>Goal time period (days)</t>
  </si>
  <si>
    <t>Months in period</t>
  </si>
  <si>
    <t>FUNNEL MATH BY ICP</t>
  </si>
  <si>
    <t>Metric</t>
  </si>
  <si>
    <t>SMB</t>
  </si>
  <si>
    <t>Mid-Market</t>
  </si>
  <si>
    <t>Enterprise</t>
  </si>
  <si>
    <t>ALL ICPs (Sum)</t>
  </si>
  <si>
    <t>Notes</t>
  </si>
  <si>
    <t>Warnings</t>
  </si>
  <si>
    <t>INPUTS — edit blue cells (math drivers)</t>
  </si>
  <si>
    <t>Revenue goal (over time period)</t>
  </si>
  <si>
    <t>Pick your specific dollar target for the goal time period.</t>
  </si>
  <si>
    <t>ACV — Annual contract value</t>
  </si>
  <si>
    <t>Average dollar value of a closed deal.</t>
  </si>
  <si>
    <t>Close rate (qualified call → deal)</t>
  </si>
  <si>
    <t>What % of qualified calls become deals. Industry typical: 15-30%.</t>
  </si>
  <si>
    <t>Qualification rate (held call → qualified)</t>
  </si>
  <si>
    <t>What % of held calls are qualified. Below 80% means targeting is off.</t>
  </si>
  <si>
    <t>Show rate (booked → held)</t>
  </si>
  <si>
    <t>What % of booked calls actually happen. Cold email show rate is usually lower than inbound.</t>
  </si>
  <si>
    <t>LTA — Lead-to-Appointment (positive reply → booked)</t>
  </si>
  <si>
    <t>What % of positive replies convert to a booked call. Below 30% means reply handling is broken.</t>
  </si>
  <si>
    <t>Leads contacted per positive reply</t>
  </si>
  <si>
    <t>How many leads contacted, on average, to get one positive reply. Workshop benchmark: 50-100. Lower = better. (No warning — this metric varies by niche.)</t>
  </si>
  <si>
    <t>Email sequence length (# of emails per lead)</t>
  </si>
  <si>
    <t>On average, a lead receives 1-2 emails (some convert early, some bounce, some unsubscribe, many don't reply at all).</t>
  </si>
  <si>
    <t>DIAGNOSTIC-ONLY — tracked but doesn't drive math (yellow cells)</t>
  </si>
  <si>
    <t>Reply rate (overall)</t>
  </si>
  <si>
    <t>What % of contacted leads reply at all. Diagnostic only — used to spot problems, not in funnel math. Benchmark: 2%+.</t>
  </si>
  <si>
    <t>Positive reply rate (of replies)</t>
  </si>
  <si>
    <t>What % of replies are positive. Diagnostic only. Benchmark: 15</t>
  </si>
  <si>
    <t>FUNNEL OUTPUTS — auto-calculated (7 stages)</t>
  </si>
  <si>
    <t>Deals needed</t>
  </si>
  <si>
    <t>Revenue goal ÷ ACV</t>
  </si>
  <si>
    <t>Qualified calls needed</t>
  </si>
  <si>
    <t>Deals ÷ close rate</t>
  </si>
  <si>
    <t>Held calls needed</t>
  </si>
  <si>
    <t>Qualified calls ÷ qualification rate</t>
  </si>
  <si>
    <t>Booked calls needed</t>
  </si>
  <si>
    <t>Held calls ÷ show rate</t>
  </si>
  <si>
    <t>Positive replies needed</t>
  </si>
  <si>
    <t>Booked calls ÷ LTA ratio</t>
  </si>
  <si>
    <t>Leads to contact</t>
  </si>
  <si>
    <t>Positive replies × leads-per-positive ratio</t>
  </si>
  <si>
    <t>Total emails to send (over time period)</t>
  </si>
  <si>
    <t>Leads × sequence × ~0.85 (some leads only get email 1, some convert early)</t>
  </si>
  <si>
    <t>Monthly emails to send</t>
  </si>
  <si>
    <t>Total emails ÷ months in period — feeds Infra Calculator</t>
  </si>
  <si>
    <t>INFRA COST + ROI — pulls from Infra Calculator tab</t>
  </si>
  <si>
    <t>Monthly infra cost (cheap domains)</t>
  </si>
  <si>
    <t>Per-ICP VARIABLE cost: sending infra (Google+M365+Azure) + data, cheap-domain rates. ALL-ICPs column adds fixed software (sequencer+Clay) once.</t>
  </si>
  <si>
    <t>Monthly infra cost (premium domains)</t>
  </si>
  <si>
    <t>Per-ICP VARIABLE cost at premium-domain rates. ALL-ICPs column adds fixed software (sequencer+Clay) once.</t>
  </si>
  <si>
    <t>Monthly revenue (goal ÷ months)</t>
  </si>
  <si>
    <t>Revenue goal converted to monthly basis.</t>
  </si>
  <si>
    <t>Monthly ROI (revenue ÷ infra, cheap domains)</t>
  </si>
  <si>
    <t>Dollars of revenue per dollar of infra spend, monthly.</t>
  </si>
  <si>
    <t>Return on Marketing Spend per 10K emails ($)</t>
  </si>
  <si>
    <t>Revenue earned per 10K emails sent — useful for comparing ICPs head-to-head.</t>
  </si>
  <si>
    <t>HOW TO USE THIS MODEL</t>
  </si>
  <si>
    <t>1. Set your goal time period (default 90 days).</t>
  </si>
  <si>
    <t>2. For each ICP column, enter your revenue goal and ACV. - if only 1 ICP, delete blue metrics from other ICP columns</t>
  </si>
  <si>
    <t>3. Enter your conversion rates and leads-per-positive ratio. If you don't have data yet, the defaults are workshop benchmarks.</t>
  </si>
  <si>
    <t>4. Reply rate and positive reply rate are diagnostic-only (yellow cells) — track them but they don't drive the funnel math.</t>
  </si>
  <si>
    <t>5. Read FUNNEL OUTPUTS to see how many emails you need to send (monthly + total over period).</t>
  </si>
  <si>
    <t>6. Read INFRA COST + ROI to see what it'll cost monthly and what your ROI looks like.</t>
  </si>
  <si>
    <t>7. If you have multiple ICPs, the rightmost SUM column shows portfolio totals.</t>
  </si>
  <si>
    <t>8. Watch the WARNINGS column. Below-benchmark values suggest a fix path — usually back to a specific SOP.</t>
  </si>
  <si>
    <t>9. The Infra Calculator tab is fully editable. Change unit costs there if your specific stack differs.</t>
  </si>
  <si>
    <t>👉 Want us to set up and manage this exact system inside your business so you can focus on closing deals?
Book a free GTM Strategy Chat → {{CTA-BookCall}} 🚀</t>
  </si>
  <si>
    <t>© Legacy GTM x Revenue Boost. The Launchpad</t>
  </si>
  <si>
    <t>The Launchpad — Infrastructure Cost Calculator</t>
  </si>
  <si>
    <t>Edit BLUE cells. YELLOW cells are the Google / Microsoft 365 / Azure split — change them to test infra mixes. Black cells are formulas — don’t touch.</t>
  </si>
  <si>
    <t>DISCLAIMER: Provider pricing changes. This is June 2026 pricing — verify current rates before signing up.</t>
  </si>
  <si>
    <t>STEP 1 — ENTER YOUR MONTHLY SEND VOLUME</t>
  </si>
  <si>
    <t>Monthly send volume (total across all ICPs/campaigns)</t>
  </si>
  <si>
    <t>← Pull from Money Model, or enter manually</t>
  </si>
  <si>
    <t>Daily send volume</t>
  </si>
  <si>
    <t>STEP 2 — SET THE GOOGLE / MICROSOFT 365 / AZURE SPLIT</t>
  </si>
  <si>
    <t>🟡 Google % of total volume</t>
  </si>
  <si>
    <t>🟡 Microsoft 365 % of total volume</t>
  </si>
  <si>
    <t>🟡 Azure % of total volume</t>
  </si>
  <si>
    <t>Split validity check</t>
  </si>
  <si>
    <t>Common split scenarios (copy values into the yellow cells above to test)</t>
  </si>
  <si>
    <t>Scenario</t>
  </si>
  <si>
    <t>Google %</t>
  </si>
  <si>
    <t>M365 %</t>
  </si>
  <si>
    <t>Azure %</t>
  </si>
  <si>
    <t>When to use</t>
  </si>
  <si>
    <t>Google-only — start here</t>
  </si>
  <si>
    <t>100%</t>
  </si>
  <si>
    <t>0%</t>
  </si>
  <si>
    <t>First 90 days; send to non-Outlook ESP leads</t>
  </si>
  <si>
    <t>Google + Azure scale hedge</t>
  </si>
  <si>
    <t>70%</t>
  </si>
  <si>
    <t>30%</t>
  </si>
  <si>
    <t>Add cheap volume once the system is proven</t>
  </si>
  <si>
    <t>Outlook / SEG-heavy TAM (aged M365)</t>
  </si>
  <si>
    <t>50%</t>
  </si>
  <si>
    <t>20%</t>
  </si>
  <si>
    <t>Enterprise/regulated; requires 3-month aged M365</t>
  </si>
  <si>
    <t>Volume-cost optimized</t>
  </si>
  <si>
    <t>80%</t>
  </si>
  <si>
    <t>Cheapest at scale; watch Azure pooled-reputation risk</t>
  </si>
  <si>
    <t>Microsoft-only (aged)</t>
  </si>
  <si>
    <t>Pure Outlook/SEG TAM with aged M365 infra</t>
  </si>
  <si>
    <t>STEP 3 — UNIT COSTS (editable)</t>
  </si>
  <si>
    <t>Sending days per month</t>
  </si>
  <si>
    <t>Google: inboxes per domain</t>
  </si>
  <si>
    <t>Google: emails per inbox per day</t>
  </si>
  <si>
    <t>Google: cost per inbox / month</t>
  </si>
  <si>
    <t>Microsoft 365: inboxes per domain</t>
  </si>
  <si>
    <t>Microsoft 365: emails per inbox per day</t>
  </si>
  <si>
    <t>Microsoft 365: cost per inbox / month</t>
  </si>
  <si>
    <t>Azure: inboxes per domain</t>
  </si>
  <si>
    <t>Azure: emails per inbox per day</t>
  </si>
  <si>
    <t>Azure: cost per inbox / month</t>
  </si>
  <si>
    <t>Cheap domain cost</t>
  </si>
  <si>
    <t>Premium domain cost</t>
  </si>
  <si>
    <t>(Business sending reuses domains over a quarter → domain cost ÷3 monthly. Personal-email sending refreshes every 30 days — see the Personal Email tab.)</t>
  </si>
  <si>
    <t>GOOGLE INFRASTRUCTURE — auto-calculated from your split</t>
  </si>
  <si>
    <t>Daily volume on Google</t>
  </si>
  <si>
    <t>Inboxes needed</t>
  </si>
  <si>
    <t>Domains needed</t>
  </si>
  <si>
    <t>Inbox cost / month</t>
  </si>
  <si>
    <t>Domain cost / month (cheap)</t>
  </si>
  <si>
    <t>Domain cost / month (premium)</t>
  </si>
  <si>
    <t>MICROSOFT 365 INFRASTRUCTURE — auto-calculated from your split</t>
  </si>
  <si>
    <t>Daily volume on Microsoft 365</t>
  </si>
  <si>
    <t>AZURE INFRASTRUCTURE — auto-calculated from your split</t>
  </si>
  <si>
    <t>Daily volume on Azure</t>
  </si>
  <si>
    <t>SOFTWARE &amp; DATA</t>
  </si>
  <si>
    <t>Sequencer (Sendkit.ai default)</t>
  </si>
  <si>
    <t>Lead orchestration (Clay)</t>
  </si>
  <si>
    <t>Data / enrichment / verification ($300/30,000)</t>
  </si>
  <si>
    <t>TOTAL MONTHLY INFRASTRUCTURE COST - Estimated!</t>
  </si>
  <si>
    <t>TOTAL (cheap domains)</t>
  </si>
  <si>
    <t>TOTAL (premium domains)</t>
  </si>
  <si>
    <t>The Launchpad — Infrastructure Cost Calculator  (PERSONAL-EMAIL SENDING)</t>
  </si>
  <si>
    <t>Edit BLUE cells. YELLOW cells are the Google/Azure split + the cycling multiplier. Black cells are formulas — don't touch.</t>
  </si>
  <si>
    <t>DISCLAIMER: Provider pricing changes. This is June 2026 pricing — verify current rates before signing up.</t>
  </si>
  <si>
    <t>WHY PERSONAL-EMAIL INFRA IS DIFFERENT</t>
  </si>
  <si>
    <t>Sending to personal inboxes (@gmail, @outlook) burns infrastructure fast, so you can never sit still. You always run ONE live batch while warming its replacement — so you hold TWO full batches (inboxes + domains) at all times.
The cycle: buy Batch 1 → warm 14 days → it goes live on the 15th. Same day you buy Batch 2 and warm it. When Batch 2 is warm, you kill Batch 1, Batch 2 sends, and you buy Batch 3. The snake eats its tail forever.
Net effect vs business sending: (1) domains are NOT reused — you pay full registration every cycle (no quarterly ÷3 amortization), and (2) inboxes + domains are both multiplied by the cycling factor. Software &amp; data are NOT cycled (they're subscriptions, billed 1×).</t>
  </si>
  <si>
    <t>Auto-calculated from monthly volume ÷ sending days/month</t>
  </si>
  <si>
    <t>STEP 2 — SET THE GOOGLE / AZURE SPLIT</t>
  </si>
  <si>
    <t>Personal sends often skew Google (recipients are mostly @gmail) — but keep the hedge unless you have data.</t>
  </si>
  <si>
    <t>STEP 3 — UNIT COSTS + CYCLING (editable)</t>
  </si>
  <si>
    <t>Calendar-aligned. Sibling business tab uses the same value for apples-to-apples.</t>
  </si>
  <si>
    <t>Google's safe limit is max 3 per domain</t>
  </si>
  <si>
    <t>Warm-up baseline</t>
  </si>
  <si>
    <t>Can range $3–$3.5 at volume</t>
  </si>
  <si>
    <t>Azure higher limit — we recommend keeping at 50</t>
  </si>
  <si>
    <t>Can range $0.4–$0.6 at volume</t>
  </si>
  <si>
    <t>Cheap domain cost (per registration)</t>
  </si>
  <si>
    <t>Full price you pay each cycle — no quarterly reuse on personal sending</t>
  </si>
  <si>
    <t>Premium domain cost (per registration)</t>
  </si>
  <si>
    <t>Once system is proven</t>
  </si>
  <si>
    <t>⭐ Cycling multiplier (batches live at once)</t>
  </si>
  <si>
    <t>2.0 = buy on the 1st &amp; 15th (clean 2×). Use 2.17 for the strict 14-day clock (never a single-batch day → ~26 buys/yr).</t>
  </si>
  <si>
    <t>GOOGLE INFRASTRUCTURE — per batch (one batch carries the full daily volume)</t>
  </si>
  <si>
    <t>Inboxes needed (per batch)</t>
  </si>
  <si>
    <t>Domains needed (per batch)</t>
  </si>
  <si>
    <t>Inbox cost / month (per batch)</t>
  </si>
  <si>
    <t>Domain cost (per batch, cheap)</t>
  </si>
  <si>
    <t>Full registration — NOT divided by a quarter, because the domain is discarded after one cycle.</t>
  </si>
  <si>
    <t>Domain cost (per batch, premium)</t>
  </si>
  <si>
    <t>AZURE INFRASTRUCTURE — per batch</t>
  </si>
  <si>
    <t>PERSONAL-EMAIL CYCLING — you hold 2 batches at all times</t>
  </si>
  <si>
    <t>Per-batch inbox cost (Google + Azure)</t>
  </si>
  <si>
    <t>Per-batch domain cost (cheap)</t>
  </si>
  <si>
    <t>Per-batch domain cost (premium)</t>
  </si>
  <si>
    <t>Per-batch infra total (cheap)</t>
  </si>
  <si>
    <t>× Cycling multiplier</t>
  </si>
  <si>
    <t>Monthly inbox cost (cycled)</t>
  </si>
  <si>
    <t>Monthly domain cost (cycled, cheap)</t>
  </si>
  <si>
    <t>Monthly domain cost (cycled, premium)</t>
  </si>
  <si>
    <t>MONTHLY INFRA SUBTOTAL (cheap)</t>
  </si>
  <si>
    <t>MONTHLY INFRA SUBTOTAL (premium)</t>
  </si>
  <si>
    <t>⚡ QUICK CHECK — type your own per-batch $ (matches the workshop example)</t>
  </si>
  <si>
    <t>Per-batch domain spend ($)</t>
  </si>
  <si>
    <t>Workshop example value</t>
  </si>
  <si>
    <t>Per-batch inbox spend ($)</t>
  </si>
  <si>
    <t>Per-batch total</t>
  </si>
  <si>
    <t>➡ MONTHLY INFRA (personal email)</t>
  </si>
  <si>
    <t>$200 + $600 = $800 per batch × 2 = $1,600/mo</t>
  </si>
  <si>
    <t>SOFTWARE &amp; DATA — NOT cycled (subscriptions / usage, billed 1×)</t>
  </si>
  <si>
    <t>Lead orchestration (Clay default; ~3× cheaper with Bitscale/Prospectee)</t>
  </si>
  <si>
    <t>Data / enrichment / verification</t>
  </si>
  <si>
    <t>$300 per 30,000 emails / 10,000 contacts. Scales with volume.</t>
  </si>
  <si>
    <t>TOTAL MONTHLY COST (PERSONAL EMAIL)</t>
  </si>
  <si>
    <t>Recommended for first 90 days</t>
  </si>
  <si>
    <t>VS BUSINESS-EMAIL SENDING (infra only — reference)</t>
  </si>
  <si>
    <t>Business-email monthly infra (reuse model, cheap)</t>
  </si>
  <si>
    <t>Inboxes 1× + domains amortized ÷3 (quarterly reuse). This is what the sibling tab computes.</t>
  </si>
  <si>
    <t>Personal-email infra premium (×)</t>
  </si>
  <si>
    <t>How much more personal-email infra costs vs business — driven by no reuse + holding 2 batches.</t>
  </si>
  <si>
    <t>👉 Want us to build and run this exact personal-email system for you, refresh cycles and all?
Book a call here → {{CTA-BookCall}} 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</si>
</sst>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.0%"/>
    <numFmt numFmtId="165" formatCode="0.0"/>
    <numFmt numFmtId="166" formatCode="\$#,##0"/>
    <numFmt numFmtId="167" formatCode="\$#,##0.00"/>
    <numFmt numFmtId="168" formatCode="0.0\x"/>
    <numFmt numFmtId="169" formatCode="\$0.00"/>
    <numFmt numFmtId="170" formatCode="0.00\×"/>
  </numFmts>
  <fonts count="22">
    <font>
      <sz val="11.0"/>
      <color theme="1"/>
      <name val="Calibri"/>
      <scheme val="minor"/>
    </font>
    <font>
      <b/>
      <sz val="18.0"/>
      <color rgb="FF1F2937"/>
      <name val="Arial"/>
    </font>
    <font>
      <sz val="11.0"/>
      <color theme="1"/>
      <name val="Calibri"/>
    </font>
    <font>
      <i/>
      <sz val="10.0"/>
      <color rgb="FF6B7280"/>
      <name val="Arial"/>
    </font>
    <font>
      <i/>
      <sz val="9.0"/>
      <color rgb="FF6B7280"/>
      <name val="Arial"/>
    </font>
    <font>
      <b/>
      <sz val="11.0"/>
      <color rgb="FFFFFFFF"/>
      <name val="Arial"/>
    </font>
    <font/>
    <font>
      <sz val="11.0"/>
      <color rgb="FF000000"/>
      <name val="Arial"/>
    </font>
    <font>
      <b/>
      <sz val="11.0"/>
      <color rgb="FF0000FF"/>
      <name val="Arial"/>
    </font>
    <font>
      <b/>
      <sz val="12.0"/>
      <color rgb="FFFFFFFF"/>
      <name val="Arial"/>
    </font>
    <font>
      <b/>
      <sz val="12.0"/>
      <color rgb="FF1F2937"/>
      <name val="Arial"/>
    </font>
    <font>
      <b/>
      <sz val="11.0"/>
      <color rgb="FF1F2937"/>
      <name val="Arial"/>
    </font>
    <font>
      <i/>
      <sz val="10.0"/>
      <color rgb="FFB91C1C"/>
      <name val="Arial"/>
    </font>
    <font>
      <b/>
      <sz val="11.0"/>
      <color rgb="FFB45309"/>
      <name val="Arial"/>
    </font>
    <font>
      <b/>
      <sz val="11.0"/>
      <color rgb="FF000000"/>
      <name val="Arial"/>
    </font>
    <font>
      <b/>
      <sz val="24.0"/>
      <color rgb="FFFFFFFF"/>
      <name val="Arial"/>
    </font>
    <font>
      <sz val="10.0"/>
      <color rgb="FF6B7280"/>
      <name val="Arial"/>
    </font>
    <font>
      <sz val="9.0"/>
      <color rgb="FFB91C1C"/>
      <name val="Arial"/>
    </font>
    <font>
      <b/>
      <sz val="10.0"/>
      <color rgb="FFB91C1C"/>
      <name val="Arial"/>
    </font>
    <font>
      <sz val="10.0"/>
      <color rgb="FF1F2937"/>
      <name val="Arial"/>
    </font>
    <font>
      <sz val="9.0"/>
      <color rgb="FF6B7280"/>
      <name val="Arial"/>
    </font>
    <font>
      <b/>
      <sz val="20.0"/>
      <color rgb="FFFFFFFF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374151"/>
        <bgColor rgb="FF374151"/>
      </patternFill>
    </fill>
    <fill>
      <patternFill patternType="solid">
        <fgColor rgb="FFEFF6FF"/>
        <bgColor rgb="FFEFF6FF"/>
      </patternFill>
    </fill>
    <fill>
      <patternFill patternType="solid">
        <fgColor rgb="FF1F2937"/>
        <bgColor rgb="FF1F2937"/>
      </patternFill>
    </fill>
    <fill>
      <patternFill patternType="solid">
        <fgColor rgb="FFDBEAFE"/>
        <bgColor rgb="FFDBEAFE"/>
      </patternFill>
    </fill>
    <fill>
      <patternFill patternType="solid">
        <fgColor rgb="FFDCFCE7"/>
        <bgColor rgb="FFDCFCE7"/>
      </patternFill>
    </fill>
    <fill>
      <patternFill patternType="solid">
        <fgColor rgb="FFFEF3C7"/>
        <bgColor rgb="FFFEF3C7"/>
      </patternFill>
    </fill>
    <fill>
      <patternFill patternType="solid">
        <fgColor rgb="FFFEF9C3"/>
        <bgColor rgb="FFFEF9C3"/>
      </patternFill>
    </fill>
    <fill>
      <patternFill patternType="solid">
        <fgColor rgb="FFF3F4F6"/>
        <bgColor rgb="FFF3F4F6"/>
      </patternFill>
    </fill>
  </fills>
  <borders count="9">
    <border/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164" xfId="0" applyAlignment="1" applyFont="1" applyNumberFormat="1">
      <alignment shrinkToFit="0" vertical="bottom" wrapText="0"/>
    </xf>
    <xf borderId="0" fillId="0" fontId="4" numFmtId="164" xfId="0" applyAlignment="1" applyFont="1" applyNumberFormat="1">
      <alignment readingOrder="0" shrinkToFit="0" vertical="bottom" wrapText="0"/>
    </xf>
    <xf borderId="1" fillId="2" fontId="5" numFmtId="0" xfId="0" applyAlignment="1" applyBorder="1" applyFill="1" applyFont="1">
      <alignment horizontal="left" shrinkToFit="0" vertical="center" wrapText="1"/>
    </xf>
    <xf borderId="2" fillId="0" fontId="6" numFmtId="0" xfId="0" applyBorder="1" applyFont="1"/>
    <xf borderId="3" fillId="0" fontId="6" numFmtId="0" xfId="0" applyBorder="1" applyFont="1"/>
    <xf borderId="4" fillId="0" fontId="7" numFmtId="0" xfId="0" applyAlignment="1" applyBorder="1" applyFont="1">
      <alignment horizontal="left" shrinkToFit="0" vertical="center" wrapText="1"/>
    </xf>
    <xf borderId="4" fillId="3" fontId="8" numFmtId="0" xfId="0" applyAlignment="1" applyBorder="1" applyFill="1" applyFont="1">
      <alignment horizontal="right" shrinkToFit="0" vertical="center" wrapText="0"/>
    </xf>
    <xf borderId="4" fillId="0" fontId="7" numFmtId="0" xfId="0" applyAlignment="1" applyBorder="1" applyFont="1">
      <alignment horizontal="right" shrinkToFit="0" vertical="center" wrapText="0"/>
    </xf>
    <xf borderId="4" fillId="0" fontId="7" numFmtId="165" xfId="0" applyAlignment="1" applyBorder="1" applyFont="1" applyNumberFormat="1">
      <alignment horizontal="right" shrinkToFit="0" vertical="center" wrapText="0"/>
    </xf>
    <xf borderId="4" fillId="0" fontId="2" numFmtId="0" xfId="0" applyAlignment="1" applyBorder="1" applyFont="1">
      <alignment horizontal="right" shrinkToFit="0" vertical="center" wrapText="0"/>
    </xf>
    <xf borderId="4" fillId="0" fontId="2" numFmtId="0" xfId="0" applyAlignment="1" applyBorder="1" applyFont="1">
      <alignment horizontal="left" shrinkToFit="0" vertical="center" wrapText="1"/>
    </xf>
    <xf borderId="4" fillId="4" fontId="9" numFmtId="0" xfId="0" applyAlignment="1" applyBorder="1" applyFill="1" applyFont="1">
      <alignment horizontal="left" shrinkToFit="0" vertical="center" wrapText="0"/>
    </xf>
    <xf borderId="4" fillId="5" fontId="10" numFmtId="0" xfId="0" applyAlignment="1" applyBorder="1" applyFill="1" applyFont="1">
      <alignment horizontal="right" shrinkToFit="0" vertical="center" wrapText="0"/>
    </xf>
    <xf borderId="4" fillId="6" fontId="10" numFmtId="0" xfId="0" applyAlignment="1" applyBorder="1" applyFill="1" applyFont="1">
      <alignment horizontal="right" shrinkToFit="0" vertical="center" wrapText="0"/>
    </xf>
    <xf borderId="4" fillId="7" fontId="10" numFmtId="0" xfId="0" applyAlignment="1" applyBorder="1" applyFill="1" applyFont="1">
      <alignment horizontal="right" shrinkToFit="0" vertical="center" wrapText="0"/>
    </xf>
    <xf borderId="4" fillId="4" fontId="5" numFmtId="0" xfId="0" applyAlignment="1" applyBorder="1" applyFont="1">
      <alignment horizontal="right" shrinkToFit="0" vertical="center" wrapText="0"/>
    </xf>
    <xf borderId="4" fillId="4" fontId="9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horizontal="left" shrinkToFit="0" vertical="center" wrapText="1"/>
    </xf>
    <xf borderId="4" fillId="3" fontId="8" numFmtId="166" xfId="0" applyAlignment="1" applyBorder="1" applyFont="1" applyNumberFormat="1">
      <alignment horizontal="right" shrinkToFit="0" vertical="center" wrapText="0"/>
    </xf>
    <xf borderId="4" fillId="0" fontId="4" numFmtId="0" xfId="0" applyAlignment="1" applyBorder="1" applyFont="1">
      <alignment horizontal="left" shrinkToFit="0" vertical="center" wrapText="1"/>
    </xf>
    <xf borderId="4" fillId="3" fontId="8" numFmtId="164" xfId="0" applyAlignment="1" applyBorder="1" applyFont="1" applyNumberFormat="1">
      <alignment horizontal="right" shrinkToFit="0" vertical="center" wrapText="0"/>
    </xf>
    <xf borderId="4" fillId="0" fontId="12" numFmtId="0" xfId="0" applyAlignment="1" applyBorder="1" applyFont="1">
      <alignment horizontal="left" shrinkToFit="0" vertical="center" wrapText="1"/>
    </xf>
    <xf borderId="4" fillId="3" fontId="8" numFmtId="164" xfId="0" applyAlignment="1" applyBorder="1" applyFont="1" applyNumberFormat="1">
      <alignment horizontal="right" readingOrder="0" shrinkToFit="0" vertical="center" wrapText="0"/>
    </xf>
    <xf borderId="4" fillId="3" fontId="8" numFmtId="1" xfId="0" applyAlignment="1" applyBorder="1" applyFont="1" applyNumberFormat="1">
      <alignment horizontal="right" shrinkToFit="0" vertical="center" wrapText="0"/>
    </xf>
    <xf borderId="1" fillId="0" fontId="13" numFmtId="0" xfId="0" applyAlignment="1" applyBorder="1" applyFont="1">
      <alignment horizontal="left" shrinkToFit="0" vertical="center" wrapText="1"/>
    </xf>
    <xf borderId="4" fillId="8" fontId="8" numFmtId="164" xfId="0" applyAlignment="1" applyBorder="1" applyFill="1" applyFont="1" applyNumberFormat="1">
      <alignment horizontal="right" readingOrder="0" shrinkToFit="0" vertical="center" wrapText="0"/>
    </xf>
    <xf borderId="4" fillId="0" fontId="4" numFmtId="0" xfId="0" applyAlignment="1" applyBorder="1" applyFont="1">
      <alignment horizontal="left" readingOrder="0" shrinkToFit="0" vertical="center" wrapText="1"/>
    </xf>
    <xf borderId="4" fillId="9" fontId="14" numFmtId="0" xfId="0" applyAlignment="1" applyBorder="1" applyFill="1" applyFont="1">
      <alignment horizontal="left" shrinkToFit="0" vertical="center" wrapText="1"/>
    </xf>
    <xf borderId="4" fillId="9" fontId="14" numFmtId="1" xfId="0" applyAlignment="1" applyBorder="1" applyFont="1" applyNumberFormat="1">
      <alignment horizontal="right" shrinkToFit="0" vertical="center" wrapText="0"/>
    </xf>
    <xf borderId="4" fillId="4" fontId="5" numFmtId="1" xfId="0" applyAlignment="1" applyBorder="1" applyFont="1" applyNumberFormat="1">
      <alignment horizontal="right" shrinkToFit="0" vertical="center" wrapText="0"/>
    </xf>
    <xf borderId="4" fillId="0" fontId="7" numFmtId="1" xfId="0" applyAlignment="1" applyBorder="1" applyFont="1" applyNumberFormat="1">
      <alignment horizontal="right" shrinkToFit="0" vertical="center" wrapText="0"/>
    </xf>
    <xf borderId="4" fillId="9" fontId="14" numFmtId="3" xfId="0" applyAlignment="1" applyBorder="1" applyFont="1" applyNumberFormat="1">
      <alignment horizontal="right" shrinkToFit="0" vertical="center" wrapText="0"/>
    </xf>
    <xf borderId="4" fillId="4" fontId="5" numFmtId="3" xfId="0" applyAlignment="1" applyBorder="1" applyFont="1" applyNumberFormat="1">
      <alignment horizontal="right" shrinkToFit="0" vertical="center" wrapText="0"/>
    </xf>
    <xf borderId="4" fillId="9" fontId="14" numFmtId="167" xfId="0" applyAlignment="1" applyBorder="1" applyFont="1" applyNumberFormat="1">
      <alignment horizontal="right" shrinkToFit="0" vertical="center" wrapText="0"/>
    </xf>
    <xf borderId="4" fillId="4" fontId="5" numFmtId="167" xfId="0" applyAlignment="1" applyBorder="1" applyFont="1" applyNumberFormat="1">
      <alignment horizontal="right" shrinkToFit="0" vertical="center" wrapText="0"/>
    </xf>
    <xf borderId="4" fillId="0" fontId="7" numFmtId="167" xfId="0" applyAlignment="1" applyBorder="1" applyFont="1" applyNumberFormat="1">
      <alignment horizontal="right" shrinkToFit="0" vertical="center" wrapText="0"/>
    </xf>
    <xf borderId="4" fillId="0" fontId="7" numFmtId="166" xfId="0" applyAlignment="1" applyBorder="1" applyFont="1" applyNumberFormat="1">
      <alignment horizontal="right" shrinkToFit="0" vertical="center" wrapText="0"/>
    </xf>
    <xf borderId="4" fillId="4" fontId="5" numFmtId="166" xfId="0" applyAlignment="1" applyBorder="1" applyFont="1" applyNumberFormat="1">
      <alignment horizontal="right" shrinkToFit="0" vertical="center" wrapText="0"/>
    </xf>
    <xf borderId="4" fillId="9" fontId="14" numFmtId="168" xfId="0" applyAlignment="1" applyBorder="1" applyFont="1" applyNumberFormat="1">
      <alignment horizontal="right" shrinkToFit="0" vertical="center" wrapText="0"/>
    </xf>
    <xf borderId="4" fillId="4" fontId="5" numFmtId="168" xfId="0" applyAlignment="1" applyBorder="1" applyFont="1" applyNumberFormat="1">
      <alignment horizontal="right" shrinkToFit="0" vertical="center" wrapText="0"/>
    </xf>
    <xf borderId="5" fillId="2" fontId="5" numFmtId="0" xfId="0" applyAlignment="1" applyBorder="1" applyFont="1">
      <alignment shrinkToFit="0" vertical="bottom" wrapText="0"/>
    </xf>
    <xf borderId="6" fillId="0" fontId="6" numFmtId="0" xfId="0" applyBorder="1" applyFont="1"/>
    <xf borderId="7" fillId="0" fontId="6" numFmtId="0" xfId="0" applyBorder="1" applyFont="1"/>
    <xf borderId="0" fillId="0" fontId="7" numFmtId="0" xfId="0" applyAlignment="1" applyFont="1">
      <alignment shrinkToFit="0" vertical="bottom" wrapText="0"/>
    </xf>
    <xf borderId="5" fillId="2" fontId="15" numFmtId="0" xfId="0" applyAlignment="1" applyBorder="1" applyFont="1">
      <alignment shrinkToFit="0" vertical="center" wrapText="1"/>
    </xf>
    <xf borderId="0" fillId="0" fontId="16" numFmtId="0" xfId="0" applyAlignment="1" applyFont="1">
      <alignment shrinkToFit="0" vertical="top" wrapText="1"/>
    </xf>
    <xf borderId="0" fillId="0" fontId="17" numFmtId="0" xfId="0" applyAlignment="1" applyFont="1">
      <alignment readingOrder="0" shrinkToFit="0" vertical="top" wrapText="1"/>
    </xf>
    <xf borderId="1" fillId="2" fontId="5" numFmtId="0" xfId="0" applyAlignment="1" applyBorder="1" applyFont="1">
      <alignment shrinkToFit="0" vertical="center" wrapText="0"/>
    </xf>
    <xf borderId="4" fillId="0" fontId="14" numFmtId="0" xfId="0" applyAlignment="1" applyBorder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4" fillId="0" fontId="7" numFmtId="3" xfId="0" applyAlignment="1" applyBorder="1" applyFont="1" applyNumberFormat="1">
      <alignment shrinkToFit="0" vertical="bottom" wrapText="0"/>
    </xf>
    <xf borderId="4" fillId="7" fontId="8" numFmtId="9" xfId="0" applyAlignment="1" applyBorder="1" applyFont="1" applyNumberFormat="1">
      <alignment shrinkToFit="0" vertical="bottom" wrapText="0"/>
    </xf>
    <xf borderId="4" fillId="0" fontId="16" numFmtId="0" xfId="0" applyAlignment="1" applyBorder="1" applyFont="1">
      <alignment shrinkToFit="0" vertical="bottom" wrapText="0"/>
    </xf>
    <xf borderId="4" fillId="0" fontId="18" numFmtId="0" xfId="0" applyAlignment="1" applyBorder="1" applyFont="1">
      <alignment shrinkToFit="0" vertical="bottom" wrapText="0"/>
    </xf>
    <xf borderId="4" fillId="4" fontId="9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top" wrapText="1"/>
    </xf>
    <xf borderId="4" fillId="3" fontId="8" numFmtId="3" xfId="0" applyAlignment="1" applyBorder="1" applyFont="1" applyNumberFormat="1">
      <alignment readingOrder="0" shrinkToFit="0" vertical="bottom" wrapText="0"/>
    </xf>
    <xf borderId="4" fillId="3" fontId="8" numFmtId="3" xfId="0" applyAlignment="1" applyBorder="1" applyFont="1" applyNumberFormat="1">
      <alignment shrinkToFit="0" vertical="bottom" wrapText="0"/>
    </xf>
    <xf borderId="4" fillId="3" fontId="8" numFmtId="167" xfId="0" applyAlignment="1" applyBorder="1" applyFont="1" applyNumberFormat="1">
      <alignment shrinkToFit="0" vertical="bottom" wrapText="0"/>
    </xf>
    <xf borderId="4" fillId="0" fontId="16" numFmtId="0" xfId="0" applyAlignment="1" applyBorder="1" applyFont="1">
      <alignment shrinkToFit="0" vertical="top" wrapText="1"/>
    </xf>
    <xf borderId="4" fillId="0" fontId="2" numFmtId="0" xfId="0" applyAlignment="1" applyBorder="1" applyFont="1">
      <alignment shrinkToFit="0" vertical="bottom" wrapText="0"/>
    </xf>
    <xf borderId="4" fillId="0" fontId="7" numFmtId="167" xfId="0" applyAlignment="1" applyBorder="1" applyFont="1" applyNumberFormat="1">
      <alignment shrinkToFit="0" vertical="bottom" wrapText="0"/>
    </xf>
    <xf borderId="4" fillId="0" fontId="7" numFmtId="0" xfId="0" applyAlignment="1" applyBorder="1" applyFont="1">
      <alignment readingOrder="0" shrinkToFit="0" vertical="bottom" wrapText="0"/>
    </xf>
    <xf borderId="1" fillId="2" fontId="5" numFmtId="0" xfId="0" applyAlignment="1" applyBorder="1" applyFont="1">
      <alignment readingOrder="0" shrinkToFit="0" vertical="center" wrapText="0"/>
    </xf>
    <xf borderId="4" fillId="9" fontId="14" numFmtId="0" xfId="0" applyAlignment="1" applyBorder="1" applyFont="1">
      <alignment shrinkToFit="0" vertical="bottom" wrapText="0"/>
    </xf>
    <xf borderId="4" fillId="9" fontId="14" numFmtId="167" xfId="0" applyAlignment="1" applyBorder="1" applyFont="1" applyNumberFormat="1">
      <alignment shrinkToFit="0" vertical="bottom" wrapText="0"/>
    </xf>
    <xf borderId="0" fillId="0" fontId="17" numFmtId="0" xfId="0" applyAlignment="1" applyFont="1">
      <alignment shrinkToFit="0" vertical="bottom" wrapText="0"/>
    </xf>
    <xf borderId="5" fillId="2" fontId="5" numFmtId="0" xfId="0" applyAlignment="1" applyBorder="1" applyFont="1">
      <alignment horizontal="left" shrinkToFit="0" vertical="center" wrapText="1"/>
    </xf>
    <xf borderId="0" fillId="0" fontId="19" numFmtId="0" xfId="0" applyAlignment="1" applyFont="1">
      <alignment horizontal="left" shrinkToFit="0" vertical="top" wrapText="1"/>
    </xf>
    <xf borderId="0" fillId="0" fontId="14" numFmtId="0" xfId="0" applyAlignment="1" applyFont="1">
      <alignment horizontal="left" shrinkToFit="0" vertical="center" wrapText="1"/>
    </xf>
    <xf borderId="8" fillId="3" fontId="8" numFmtId="3" xfId="0" applyAlignment="1" applyBorder="1" applyFont="1" applyNumberFormat="1">
      <alignment horizontal="right" shrinkToFit="0" vertical="center" wrapText="0"/>
    </xf>
    <xf borderId="0" fillId="0" fontId="20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3" xfId="0" applyAlignment="1" applyFont="1" applyNumberFormat="1">
      <alignment horizontal="right" shrinkToFit="0" vertical="center" wrapText="0"/>
    </xf>
    <xf borderId="8" fillId="7" fontId="8" numFmtId="9" xfId="0" applyAlignment="1" applyBorder="1" applyFont="1" applyNumberFormat="1">
      <alignment horizontal="right" shrinkToFit="0" vertical="center" wrapText="0"/>
    </xf>
    <xf borderId="8" fillId="3" fontId="8" numFmtId="1" xfId="0" applyAlignment="1" applyBorder="1" applyFont="1" applyNumberFormat="1">
      <alignment horizontal="right" shrinkToFit="0" vertical="center" wrapText="0"/>
    </xf>
    <xf borderId="8" fillId="3" fontId="8" numFmtId="169" xfId="0" applyAlignment="1" applyBorder="1" applyFont="1" applyNumberFormat="1">
      <alignment horizontal="right" shrinkToFit="0" vertical="center" wrapText="0"/>
    </xf>
    <xf borderId="8" fillId="7" fontId="8" numFmtId="170" xfId="0" applyAlignment="1" applyBorder="1" applyFont="1" applyNumberFormat="1">
      <alignment horizontal="right" shrinkToFit="0" vertical="center" wrapText="0"/>
    </xf>
    <xf borderId="5" fillId="9" fontId="11" numFmtId="0" xfId="0" applyAlignment="1" applyBorder="1" applyFont="1">
      <alignment horizontal="left" shrinkToFit="0" vertical="center" wrapText="1"/>
    </xf>
    <xf borderId="0" fillId="0" fontId="7" numFmtId="167" xfId="0" applyAlignment="1" applyFont="1" applyNumberFormat="1">
      <alignment horizontal="right" shrinkToFit="0" vertical="center" wrapText="0"/>
    </xf>
    <xf borderId="0" fillId="0" fontId="7" numFmtId="170" xfId="0" applyAlignment="1" applyFont="1" applyNumberFormat="1">
      <alignment horizontal="right" shrinkToFit="0" vertical="center" wrapText="0"/>
    </xf>
    <xf borderId="8" fillId="9" fontId="14" numFmtId="0" xfId="0" applyAlignment="1" applyBorder="1" applyFont="1">
      <alignment horizontal="left" shrinkToFit="0" vertical="center" wrapText="1"/>
    </xf>
    <xf borderId="8" fillId="9" fontId="14" numFmtId="167" xfId="0" applyAlignment="1" applyBorder="1" applyFont="1" applyNumberFormat="1">
      <alignment horizontal="right" shrinkToFit="0" vertical="center" wrapText="0"/>
    </xf>
    <xf borderId="8" fillId="3" fontId="8" numFmtId="166" xfId="0" applyAlignment="1" applyBorder="1" applyFont="1" applyNumberFormat="1">
      <alignment horizontal="right" shrinkToFit="0" vertical="center" wrapText="0"/>
    </xf>
    <xf borderId="0" fillId="0" fontId="7" numFmtId="166" xfId="0" applyAlignment="1" applyFont="1" applyNumberFormat="1">
      <alignment horizontal="right" shrinkToFit="0" vertical="center" wrapText="0"/>
    </xf>
    <xf borderId="8" fillId="7" fontId="14" numFmtId="0" xfId="0" applyAlignment="1" applyBorder="1" applyFont="1">
      <alignment horizontal="left" shrinkToFit="0" vertical="center" wrapText="1"/>
    </xf>
    <xf borderId="8" fillId="7" fontId="14" numFmtId="166" xfId="0" applyAlignment="1" applyBorder="1" applyFont="1" applyNumberFormat="1">
      <alignment horizontal="right" shrinkToFit="0" vertical="center" wrapText="0"/>
    </xf>
    <xf borderId="8" fillId="3" fontId="8" numFmtId="167" xfId="0" applyAlignment="1" applyBorder="1" applyFont="1" applyNumberFormat="1">
      <alignment horizontal="right" shrinkToFit="0" vertical="center" wrapText="0"/>
    </xf>
    <xf borderId="5" fillId="4" fontId="9" numFmtId="0" xfId="0" applyAlignment="1" applyBorder="1" applyFont="1">
      <alignment horizontal="left" shrinkToFit="0" vertical="center" wrapText="1"/>
    </xf>
    <xf borderId="5" fillId="2" fontId="2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" width="48.0"/>
    <col customWidth="1" min="2" max="4" width="16.0"/>
    <col customWidth="1" min="5" max="5" width="18.0"/>
    <col customWidth="1" min="6" max="6" width="50.0"/>
    <col customWidth="1" min="7" max="7" width="36.0"/>
    <col customWidth="1" min="8" max="11" width="8.71"/>
    <col customWidth="1" min="12" max="12" width="12.43"/>
    <col customWidth="1" min="13" max="13" width="8.71"/>
  </cols>
  <sheetData>
    <row r="1" ht="21.7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3" t="s">
        <v>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4" t="s">
        <v>3</v>
      </c>
      <c r="B5" s="5" t="s">
        <v>4</v>
      </c>
      <c r="C5" s="5">
        <v>0.2</v>
      </c>
      <c r="D5" s="5" t="s">
        <v>5</v>
      </c>
      <c r="E5" s="5">
        <v>0.8</v>
      </c>
      <c r="F5" s="5" t="s">
        <v>6</v>
      </c>
      <c r="G5" s="5">
        <v>0.6</v>
      </c>
      <c r="H5" s="5" t="s">
        <v>7</v>
      </c>
      <c r="I5" s="5">
        <v>0.3</v>
      </c>
      <c r="J5" s="5" t="s">
        <v>8</v>
      </c>
      <c r="K5" s="5">
        <v>0.02</v>
      </c>
      <c r="L5" s="5" t="s">
        <v>9</v>
      </c>
      <c r="M5" s="6">
        <v>0.15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0" customHeight="1">
      <c r="A7" s="7" t="s">
        <v>10</v>
      </c>
      <c r="B7" s="8"/>
      <c r="C7" s="8"/>
      <c r="D7" s="8"/>
      <c r="E7" s="8"/>
      <c r="F7" s="8"/>
      <c r="G7" s="9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0" customHeight="1">
      <c r="A8" s="10" t="s">
        <v>11</v>
      </c>
      <c r="B8" s="11">
        <v>90.0</v>
      </c>
      <c r="C8" s="12" t="s">
        <v>12</v>
      </c>
      <c r="D8" s="13">
        <f>B8/30</f>
        <v>3</v>
      </c>
      <c r="E8" s="14"/>
      <c r="F8" s="15"/>
      <c r="G8" s="1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0" customHeight="1">
      <c r="A9" s="15"/>
      <c r="B9" s="14"/>
      <c r="C9" s="14"/>
      <c r="D9" s="14"/>
      <c r="E9" s="14"/>
      <c r="F9" s="15"/>
      <c r="G9" s="1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0" customHeight="1">
      <c r="A10" s="7" t="s">
        <v>13</v>
      </c>
      <c r="B10" s="8"/>
      <c r="C10" s="8"/>
      <c r="D10" s="8"/>
      <c r="E10" s="8"/>
      <c r="F10" s="8"/>
      <c r="G10" s="9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1.75" customHeight="1">
      <c r="A11" s="16" t="s">
        <v>14</v>
      </c>
      <c r="B11" s="17" t="s">
        <v>15</v>
      </c>
      <c r="C11" s="18" t="s">
        <v>16</v>
      </c>
      <c r="D11" s="19" t="s">
        <v>17</v>
      </c>
      <c r="E11" s="20" t="s">
        <v>18</v>
      </c>
      <c r="F11" s="21" t="s">
        <v>19</v>
      </c>
      <c r="G11" s="21" t="s">
        <v>20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1.75" customHeight="1">
      <c r="A12" s="22" t="s">
        <v>21</v>
      </c>
      <c r="B12" s="8"/>
      <c r="C12" s="8"/>
      <c r="D12" s="8"/>
      <c r="E12" s="8"/>
      <c r="F12" s="8"/>
      <c r="G12" s="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1.75" customHeight="1">
      <c r="A13" s="10" t="s">
        <v>22</v>
      </c>
      <c r="B13" s="23">
        <v>50000.0</v>
      </c>
      <c r="C13" s="23"/>
      <c r="D13" s="23"/>
      <c r="E13" s="14"/>
      <c r="F13" s="24" t="s">
        <v>23</v>
      </c>
      <c r="G13" s="15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1.75" customHeight="1">
      <c r="A14" s="10" t="s">
        <v>24</v>
      </c>
      <c r="B14" s="23">
        <v>10000.0</v>
      </c>
      <c r="C14" s="23"/>
      <c r="D14" s="23"/>
      <c r="E14" s="14"/>
      <c r="F14" s="24" t="s">
        <v>25</v>
      </c>
      <c r="G14" s="15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1.75" customHeight="1">
      <c r="A15" s="10" t="s">
        <v>26</v>
      </c>
      <c r="B15" s="25">
        <v>0.25</v>
      </c>
      <c r="C15" s="25"/>
      <c r="D15" s="25"/>
      <c r="E15" s="14"/>
      <c r="F15" s="24" t="s">
        <v>27</v>
      </c>
      <c r="G15" s="26" t="str">
        <f>IF(OR(AND(B15&gt;0,B15&lt;$C$5),AND(C15&gt;0,C15&lt;$C$5),AND(D15&gt;0,D15&lt;$C$5)),"⚠ Below benchmark — see SOP 13","")</f>
        <v/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1.75" customHeight="1">
      <c r="A16" s="10" t="s">
        <v>28</v>
      </c>
      <c r="B16" s="25">
        <v>0.8</v>
      </c>
      <c r="C16" s="25"/>
      <c r="D16" s="25"/>
      <c r="E16" s="14"/>
      <c r="F16" s="24" t="s">
        <v>29</v>
      </c>
      <c r="G16" s="26" t="str">
        <f>IF(OR(AND(B16&gt;0,B16&lt;$E$5),AND(C16&gt;0,C16&lt;$E$5),AND(D16&gt;0,D16&lt;$E$5)),"⚠ Below benchmark — see SOP 13","")</f>
        <v/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1.75" customHeight="1">
      <c r="A17" s="10" t="s">
        <v>30</v>
      </c>
      <c r="B17" s="25">
        <v>0.7</v>
      </c>
      <c r="C17" s="25"/>
      <c r="D17" s="25"/>
      <c r="E17" s="14"/>
      <c r="F17" s="24" t="s">
        <v>31</v>
      </c>
      <c r="G17" s="26" t="str">
        <f>IF(OR(AND(B17&gt;0,B17&lt;$G$5),AND(C17&gt;0,C17&lt;$G$5),AND(D17&gt;0,D17&lt;$G$5)),"⚠ Below benchmark — see SOP 13","")</f>
        <v/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1.75" customHeight="1">
      <c r="A18" s="10" t="s">
        <v>32</v>
      </c>
      <c r="B18" s="27">
        <v>0.3</v>
      </c>
      <c r="C18" s="25"/>
      <c r="D18" s="25"/>
      <c r="E18" s="14"/>
      <c r="F18" s="24" t="s">
        <v>33</v>
      </c>
      <c r="G18" s="26" t="str">
        <f>IF(OR(AND(B18&gt;0,B18&lt;$I$5),AND(C18&gt;0,C18&lt;$I$5),AND(D18&gt;0,D18&lt;$I$5)),"⚠ Below benchmark — see SOP 13","")</f>
        <v/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1.75" customHeight="1">
      <c r="A19" s="10" t="s">
        <v>34</v>
      </c>
      <c r="B19" s="28">
        <v>75.0</v>
      </c>
      <c r="C19" s="28"/>
      <c r="D19" s="28"/>
      <c r="E19" s="14"/>
      <c r="F19" s="24" t="s">
        <v>35</v>
      </c>
      <c r="G19" s="15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1.75" customHeight="1">
      <c r="A20" s="10" t="s">
        <v>36</v>
      </c>
      <c r="B20" s="28">
        <v>3.0</v>
      </c>
      <c r="C20" s="28"/>
      <c r="D20" s="28"/>
      <c r="E20" s="14"/>
      <c r="F20" s="24" t="s">
        <v>37</v>
      </c>
      <c r="G20" s="15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1.75" customHeight="1">
      <c r="A21" s="15"/>
      <c r="B21" s="14"/>
      <c r="C21" s="14"/>
      <c r="D21" s="14"/>
      <c r="E21" s="14"/>
      <c r="F21" s="15"/>
      <c r="G21" s="15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1.75" customHeight="1">
      <c r="A22" s="29" t="s">
        <v>38</v>
      </c>
      <c r="B22" s="8"/>
      <c r="C22" s="8"/>
      <c r="D22" s="8"/>
      <c r="E22" s="8"/>
      <c r="F22" s="8"/>
      <c r="G22" s="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1.75" customHeight="1">
      <c r="A23" s="10" t="s">
        <v>39</v>
      </c>
      <c r="B23" s="30">
        <v>0.02</v>
      </c>
      <c r="C23" s="30">
        <v>0.02</v>
      </c>
      <c r="D23" s="30">
        <v>0.02</v>
      </c>
      <c r="E23" s="14"/>
      <c r="F23" s="24" t="s">
        <v>40</v>
      </c>
      <c r="G23" s="26" t="str">
        <f>IF(OR(B23&lt;$K$5,C23&lt;$K$5,D23&lt;$K$5),"⚠ Reply rate below benchmark","")</f>
        <v/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1.75" customHeight="1">
      <c r="A24" s="10" t="s">
        <v>41</v>
      </c>
      <c r="B24" s="30">
        <v>0.15</v>
      </c>
      <c r="C24" s="30">
        <v>0.15</v>
      </c>
      <c r="D24" s="30">
        <v>0.15</v>
      </c>
      <c r="E24" s="14"/>
      <c r="F24" s="31" t="s">
        <v>42</v>
      </c>
      <c r="G24" s="26" t="str">
        <f>IF(OR(B24&lt;$M$5,C24&lt;$M$5,D24&lt;$M$5),"⚠ Positive reply rate below benchmark","")</f>
        <v/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1.75" customHeight="1">
      <c r="A25" s="15"/>
      <c r="B25" s="14"/>
      <c r="C25" s="14"/>
      <c r="D25" s="14"/>
      <c r="E25" s="14"/>
      <c r="F25" s="15"/>
      <c r="G25" s="15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1.75" customHeight="1">
      <c r="A26" s="22" t="s">
        <v>43</v>
      </c>
      <c r="B26" s="8"/>
      <c r="C26" s="8"/>
      <c r="D26" s="8"/>
      <c r="E26" s="8"/>
      <c r="F26" s="8"/>
      <c r="G26" s="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1.75" customHeight="1">
      <c r="A27" s="32" t="s">
        <v>44</v>
      </c>
      <c r="B27" s="33">
        <f t="shared" ref="B27:D27" si="1">IF(OR(B13=0,B14=0),0,ROUNDUP(B13/B14,0))</f>
        <v>5</v>
      </c>
      <c r="C27" s="33">
        <f t="shared" si="1"/>
        <v>0</v>
      </c>
      <c r="D27" s="33">
        <f t="shared" si="1"/>
        <v>0</v>
      </c>
      <c r="E27" s="34">
        <f t="shared" ref="E27:E34" si="3">B27+C27+D27</f>
        <v>5</v>
      </c>
      <c r="F27" s="24" t="s">
        <v>45</v>
      </c>
      <c r="G27" s="15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1.75" customHeight="1">
      <c r="A28" s="10" t="s">
        <v>46</v>
      </c>
      <c r="B28" s="35">
        <f t="shared" ref="B28:D28" si="2">IF(OR(B27=0,B15=0),0,ROUNDUP(B27/B15,0))</f>
        <v>20</v>
      </c>
      <c r="C28" s="35">
        <f t="shared" si="2"/>
        <v>0</v>
      </c>
      <c r="D28" s="35">
        <f t="shared" si="2"/>
        <v>0</v>
      </c>
      <c r="E28" s="34">
        <f t="shared" si="3"/>
        <v>20</v>
      </c>
      <c r="F28" s="24" t="s">
        <v>47</v>
      </c>
      <c r="G28" s="15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1.75" customHeight="1">
      <c r="A29" s="10" t="s">
        <v>48</v>
      </c>
      <c r="B29" s="35">
        <f t="shared" ref="B29:D29" si="4">IF(OR(B28=0,B16=0),0,ROUNDUP(B28/B16,0))</f>
        <v>25</v>
      </c>
      <c r="C29" s="35">
        <f t="shared" si="4"/>
        <v>0</v>
      </c>
      <c r="D29" s="35">
        <f t="shared" si="4"/>
        <v>0</v>
      </c>
      <c r="E29" s="34">
        <f t="shared" si="3"/>
        <v>25</v>
      </c>
      <c r="F29" s="24" t="s">
        <v>49</v>
      </c>
      <c r="G29" s="15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1.75" customHeight="1">
      <c r="A30" s="10" t="s">
        <v>50</v>
      </c>
      <c r="B30" s="35">
        <f t="shared" ref="B30:D30" si="5">IF(OR(B29=0,B17=0),0,ROUNDUP(B29/B17,0))</f>
        <v>36</v>
      </c>
      <c r="C30" s="35">
        <f t="shared" si="5"/>
        <v>0</v>
      </c>
      <c r="D30" s="35">
        <f t="shared" si="5"/>
        <v>0</v>
      </c>
      <c r="E30" s="34">
        <f t="shared" si="3"/>
        <v>36</v>
      </c>
      <c r="F30" s="24" t="s">
        <v>51</v>
      </c>
      <c r="G30" s="15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1.75" customHeight="1">
      <c r="A31" s="10" t="s">
        <v>52</v>
      </c>
      <c r="B31" s="35">
        <f t="shared" ref="B31:D31" si="6">IF(OR(B30=0,B18=0),0,ROUNDUP(B30/B18,0))</f>
        <v>120</v>
      </c>
      <c r="C31" s="35">
        <f t="shared" si="6"/>
        <v>0</v>
      </c>
      <c r="D31" s="35">
        <f t="shared" si="6"/>
        <v>0</v>
      </c>
      <c r="E31" s="34">
        <f t="shared" si="3"/>
        <v>120</v>
      </c>
      <c r="F31" s="24" t="s">
        <v>53</v>
      </c>
      <c r="G31" s="15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1.75" customHeight="1">
      <c r="A32" s="32" t="s">
        <v>54</v>
      </c>
      <c r="B32" s="36">
        <f t="shared" ref="B32:D32" si="7">IF(B31=0,0,ROUNDUP(B31*B19,0))</f>
        <v>9000</v>
      </c>
      <c r="C32" s="36">
        <f t="shared" si="7"/>
        <v>0</v>
      </c>
      <c r="D32" s="36">
        <f t="shared" si="7"/>
        <v>0</v>
      </c>
      <c r="E32" s="37">
        <f t="shared" si="3"/>
        <v>9000</v>
      </c>
      <c r="F32" s="24" t="s">
        <v>55</v>
      </c>
      <c r="G32" s="15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1.75" customHeight="1">
      <c r="A33" s="32" t="s">
        <v>56</v>
      </c>
      <c r="B33" s="36">
        <f t="shared" ref="B33:D33" si="8">IF(B32=0,0,ROUNDUP(B32*B20*0.85,0))</f>
        <v>22950</v>
      </c>
      <c r="C33" s="36">
        <f t="shared" si="8"/>
        <v>0</v>
      </c>
      <c r="D33" s="36">
        <f t="shared" si="8"/>
        <v>0</v>
      </c>
      <c r="E33" s="37">
        <f t="shared" si="3"/>
        <v>22950</v>
      </c>
      <c r="F33" s="24" t="s">
        <v>57</v>
      </c>
      <c r="G33" s="15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1.75" customHeight="1">
      <c r="A34" s="32" t="s">
        <v>58</v>
      </c>
      <c r="B34" s="36">
        <f t="shared" ref="B34:D34" si="9">IF(B33=0,0,ROUNDUP(B33/$D$8,0))</f>
        <v>7650</v>
      </c>
      <c r="C34" s="36">
        <f t="shared" si="9"/>
        <v>0</v>
      </c>
      <c r="D34" s="36">
        <f t="shared" si="9"/>
        <v>0</v>
      </c>
      <c r="E34" s="37">
        <f t="shared" si="3"/>
        <v>7650</v>
      </c>
      <c r="F34" s="24" t="s">
        <v>59</v>
      </c>
      <c r="G34" s="15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1.75" customHeight="1">
      <c r="A35" s="15"/>
      <c r="B35" s="14"/>
      <c r="C35" s="14"/>
      <c r="D35" s="14"/>
      <c r="E35" s="14"/>
      <c r="F35" s="15"/>
      <c r="G35" s="15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1.75" customHeight="1">
      <c r="A36" s="22" t="s">
        <v>60</v>
      </c>
      <c r="B36" s="8"/>
      <c r="C36" s="8"/>
      <c r="D36" s="8"/>
      <c r="E36" s="8"/>
      <c r="F36" s="8"/>
      <c r="G36" s="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1.75" customHeight="1">
      <c r="A37" s="32" t="s">
        <v>61</v>
      </c>
      <c r="B37" s="38">
        <f>ROUND((ROUNDUP((B34/'Infra Calculator'!$C$24)*'Infra Calculator'!$C$10/'Infra Calculator'!$C$26,0)*'Infra Calculator'!$C$27+ROUNDUP(ROUNDUP((B34/'Infra Calculator'!$C$24)*'Infra Calculator'!$C$10/'Infra Calculator'!$C$26,0)/'Infra Calculator'!$C$25,0)*'Infra Calculator'!$C$34/3)+(ROUNDUP((B34/'Infra Calculator'!$C$24)*'Infra Calculator'!$C$11/'Infra Calculator'!$C$29,0)*'Infra Calculator'!$C$30+ROUNDUP(ROUNDUP((B34/'Infra Calculator'!$C$24)*'Infra Calculator'!$C$11/'Infra Calculator'!$C$29,0)/'Infra Calculator'!$C$28,0)*'Infra Calculator'!$C$34/3)+(ROUNDUP((B34/'Infra Calculator'!$C$24)*'Infra Calculator'!$C$12/'Infra Calculator'!$C$32,0)*'Infra Calculator'!$C$33+ROUNDUP(ROUNDUP((B34/'Infra Calculator'!$C$24)*'Infra Calculator'!$C$12/'Infra Calculator'!$C$32,0)/'Infra Calculator'!$C$31,0)*'Infra Calculator'!$C$34/3)+(B34/30000*300),2)</f>
        <v>169.83</v>
      </c>
      <c r="C37" s="38">
        <f>ROUND((ROUNDUP((C34/'Infra Calculator'!$C$24)*'Infra Calculator'!$C$10/'Infra Calculator'!$C$26,0)*'Infra Calculator'!$C$27+ROUNDUP(ROUNDUP((C34/'Infra Calculator'!$C$24)*'Infra Calculator'!$C$10/'Infra Calculator'!$C$26,0)/'Infra Calculator'!$C$25,0)*'Infra Calculator'!$C$34/3)+(ROUNDUP((C34/'Infra Calculator'!$C$24)*'Infra Calculator'!$C$11/'Infra Calculator'!$C$29,0)*'Infra Calculator'!$C$30+ROUNDUP(ROUNDUP((C34/'Infra Calculator'!$C$24)*'Infra Calculator'!$C$11/'Infra Calculator'!$C$29,0)/'Infra Calculator'!$C$28,0)*'Infra Calculator'!$C$34/3)+(ROUNDUP((C34/'Infra Calculator'!$C$24)*'Infra Calculator'!$C$12/'Infra Calculator'!$C$32,0)*'Infra Calculator'!$C$33+ROUNDUP(ROUNDUP((C34/'Infra Calculator'!$C$24)*'Infra Calculator'!$C$12/'Infra Calculator'!$C$32,0)/'Infra Calculator'!$C$31,0)*'Infra Calculator'!$C$34/3)+(C34/30000*300),2)</f>
        <v>0</v>
      </c>
      <c r="D37" s="38">
        <f>ROUND((ROUNDUP((D34/'Infra Calculator'!$C$24)*'Infra Calculator'!$C$10/'Infra Calculator'!$C$26,0)*'Infra Calculator'!$C$27+ROUNDUP(ROUNDUP((D34/'Infra Calculator'!$C$24)*'Infra Calculator'!$C$10/'Infra Calculator'!$C$26,0)/'Infra Calculator'!$C$25,0)*'Infra Calculator'!$C$34/3)+(ROUNDUP((D34/'Infra Calculator'!$C$24)*'Infra Calculator'!$C$11/'Infra Calculator'!$C$29,0)*'Infra Calculator'!$C$30+ROUNDUP(ROUNDUP((D34/'Infra Calculator'!$C$24)*'Infra Calculator'!$C$11/'Infra Calculator'!$C$29,0)/'Infra Calculator'!$C$28,0)*'Infra Calculator'!$C$34/3)+(ROUNDUP((D34/'Infra Calculator'!$C$24)*'Infra Calculator'!$C$12/'Infra Calculator'!$C$32,0)*'Infra Calculator'!$C$33+ROUNDUP(ROUNDUP((D34/'Infra Calculator'!$C$24)*'Infra Calculator'!$C$12/'Infra Calculator'!$C$32,0)/'Infra Calculator'!$C$31,0)*'Infra Calculator'!$C$34/3)+(D34/30000*300),2)</f>
        <v>0</v>
      </c>
      <c r="E37" s="39">
        <f>B37+C37+D37+'Infra Calculator'!$C$63+'Infra Calculator'!$C$64</f>
        <v>712.83</v>
      </c>
      <c r="F37" s="24" t="s">
        <v>62</v>
      </c>
      <c r="G37" s="15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1.75" customHeight="1">
      <c r="A38" s="10" t="s">
        <v>63</v>
      </c>
      <c r="B38" s="40">
        <f>ROUND((ROUNDUP((B34/'Infra Calculator'!$C$24)*'Infra Calculator'!$C$10/'Infra Calculator'!$C$26,0)*'Infra Calculator'!$C$27+ROUNDUP(ROUNDUP((B34/'Infra Calculator'!$C$24)*'Infra Calculator'!$C$10/'Infra Calculator'!$C$26,0)/'Infra Calculator'!$C$25,0)*'Infra Calculator'!$C$35/3)+(ROUNDUP((B34/'Infra Calculator'!$C$24)*'Infra Calculator'!$C$11/'Infra Calculator'!$C$29,0)*'Infra Calculator'!$C$30+ROUNDUP(ROUNDUP((B34/'Infra Calculator'!$C$24)*'Infra Calculator'!$C$11/'Infra Calculator'!$C$29,0)/'Infra Calculator'!$C$28,0)*'Infra Calculator'!$C$35/3)+(ROUNDUP((B34/'Infra Calculator'!$C$24)*'Infra Calculator'!$C$12/'Infra Calculator'!$C$32,0)*'Infra Calculator'!$C$33+ROUNDUP(ROUNDUP((B34/'Infra Calculator'!$C$24)*'Infra Calculator'!$C$12/'Infra Calculator'!$C$32,0)/'Infra Calculator'!$C$31,0)*'Infra Calculator'!$C$35/3)+(B34/30000*300),2)</f>
        <v>187.17</v>
      </c>
      <c r="C38" s="40">
        <f>ROUND((ROUNDUP((C34/'Infra Calculator'!$C$24)*'Infra Calculator'!$C$10/'Infra Calculator'!$C$26,0)*'Infra Calculator'!$C$27+ROUNDUP(ROUNDUP((C34/'Infra Calculator'!$C$24)*'Infra Calculator'!$C$10/'Infra Calculator'!$C$26,0)/'Infra Calculator'!$C$25,0)*'Infra Calculator'!$C$35/3)+(ROUNDUP((C34/'Infra Calculator'!$C$24)*'Infra Calculator'!$C$11/'Infra Calculator'!$C$29,0)*'Infra Calculator'!$C$30+ROUNDUP(ROUNDUP((C34/'Infra Calculator'!$C$24)*'Infra Calculator'!$C$11/'Infra Calculator'!$C$29,0)/'Infra Calculator'!$C$28,0)*'Infra Calculator'!$C$35/3)+(ROUNDUP((C34/'Infra Calculator'!$C$24)*'Infra Calculator'!$C$12/'Infra Calculator'!$C$32,0)*'Infra Calculator'!$C$33+ROUNDUP(ROUNDUP((C34/'Infra Calculator'!$C$24)*'Infra Calculator'!$C$12/'Infra Calculator'!$C$32,0)/'Infra Calculator'!$C$31,0)*'Infra Calculator'!$C$35/3)+(C34/30000*300),2)</f>
        <v>0</v>
      </c>
      <c r="D38" s="40">
        <f>ROUND((ROUNDUP((D34/'Infra Calculator'!$C$24)*'Infra Calculator'!$C$10/'Infra Calculator'!$C$26,0)*'Infra Calculator'!$C$27+ROUNDUP(ROUNDUP((D34/'Infra Calculator'!$C$24)*'Infra Calculator'!$C$10/'Infra Calculator'!$C$26,0)/'Infra Calculator'!$C$25,0)*'Infra Calculator'!$C$35/3)+(ROUNDUP((D34/'Infra Calculator'!$C$24)*'Infra Calculator'!$C$11/'Infra Calculator'!$C$29,0)*'Infra Calculator'!$C$30+ROUNDUP(ROUNDUP((D34/'Infra Calculator'!$C$24)*'Infra Calculator'!$C$11/'Infra Calculator'!$C$29,0)/'Infra Calculator'!$C$28,0)*'Infra Calculator'!$C$35/3)+(ROUNDUP((D34/'Infra Calculator'!$C$24)*'Infra Calculator'!$C$12/'Infra Calculator'!$C$32,0)*'Infra Calculator'!$C$33+ROUNDUP(ROUNDUP((D34/'Infra Calculator'!$C$24)*'Infra Calculator'!$C$12/'Infra Calculator'!$C$32,0)/'Infra Calculator'!$C$31,0)*'Infra Calculator'!$C$35/3)+(D34/30000*300),2)</f>
        <v>0</v>
      </c>
      <c r="E38" s="39">
        <f>B38+C38+D38+'Infra Calculator'!$C$63+'Infra Calculator'!$C$64</f>
        <v>730.17</v>
      </c>
      <c r="F38" s="24" t="s">
        <v>64</v>
      </c>
      <c r="G38" s="1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1.75" customHeight="1">
      <c r="A39" s="10" t="s">
        <v>65</v>
      </c>
      <c r="B39" s="41">
        <f t="shared" ref="B39:D39" si="10">B13/$D$8</f>
        <v>16666.66667</v>
      </c>
      <c r="C39" s="41">
        <f t="shared" si="10"/>
        <v>0</v>
      </c>
      <c r="D39" s="41">
        <f t="shared" si="10"/>
        <v>0</v>
      </c>
      <c r="E39" s="42">
        <f>B39+C39+D39</f>
        <v>16666.66667</v>
      </c>
      <c r="F39" s="24" t="s">
        <v>66</v>
      </c>
      <c r="G39" s="15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1.75" customHeight="1">
      <c r="A40" s="32" t="s">
        <v>67</v>
      </c>
      <c r="B40" s="43">
        <f t="shared" ref="B40:E40" si="11">IF(B37=0,0,B39/B37)</f>
        <v>98.13735304</v>
      </c>
      <c r="C40" s="43">
        <f t="shared" si="11"/>
        <v>0</v>
      </c>
      <c r="D40" s="43">
        <f t="shared" si="11"/>
        <v>0</v>
      </c>
      <c r="E40" s="44">
        <f t="shared" si="11"/>
        <v>23.38098378</v>
      </c>
      <c r="F40" s="24" t="s">
        <v>68</v>
      </c>
      <c r="G40" s="1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1.75" customHeight="1">
      <c r="A41" s="10" t="s">
        <v>69</v>
      </c>
      <c r="B41" s="41">
        <f t="shared" ref="B41:D41" si="12">IF(B34=0,0,B39/B34*10000)</f>
        <v>21786.49237</v>
      </c>
      <c r="C41" s="41">
        <f t="shared" si="12"/>
        <v>0</v>
      </c>
      <c r="D41" s="41">
        <f t="shared" si="12"/>
        <v>0</v>
      </c>
      <c r="E41" s="42"/>
      <c r="F41" s="24" t="s">
        <v>70</v>
      </c>
      <c r="G41" s="15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1.75" customHeight="1">
      <c r="A42" s="15"/>
      <c r="B42" s="14"/>
      <c r="C42" s="14"/>
      <c r="D42" s="14"/>
      <c r="E42" s="14"/>
      <c r="F42" s="15"/>
      <c r="G42" s="1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5" t="s">
        <v>71</v>
      </c>
      <c r="B44" s="46"/>
      <c r="C44" s="46"/>
      <c r="D44" s="46"/>
      <c r="E44" s="46"/>
      <c r="F44" s="46"/>
      <c r="G44" s="47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8" t="s">
        <v>72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8" t="s">
        <v>73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8" t="s">
        <v>74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8" t="s">
        <v>75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8" t="s">
        <v>76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8" t="s">
        <v>77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8" t="s">
        <v>78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48" t="s">
        <v>79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8" t="s">
        <v>80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38.0" customHeight="1">
      <c r="A55" s="49" t="s">
        <v>81</v>
      </c>
      <c r="B55" s="46"/>
      <c r="C55" s="46"/>
      <c r="D55" s="46"/>
      <c r="E55" s="46"/>
      <c r="F55" s="47"/>
      <c r="G55" s="4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"/>
      <c r="B56" s="4"/>
      <c r="C56" s="4"/>
      <c r="D56" s="4"/>
      <c r="E56" s="4"/>
      <c r="F56" s="4"/>
      <c r="G56" s="4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" t="s">
        <v>82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mergeCells count="21">
    <mergeCell ref="A1:G1"/>
    <mergeCell ref="A2:G2"/>
    <mergeCell ref="A3:G3"/>
    <mergeCell ref="A7:G7"/>
    <mergeCell ref="A10:G10"/>
    <mergeCell ref="A12:G12"/>
    <mergeCell ref="A22:G22"/>
    <mergeCell ref="A49:G49"/>
    <mergeCell ref="A50:G50"/>
    <mergeCell ref="A51:G51"/>
    <mergeCell ref="A52:G52"/>
    <mergeCell ref="A53:G53"/>
    <mergeCell ref="A55:F55"/>
    <mergeCell ref="A57:G57"/>
    <mergeCell ref="A26:G26"/>
    <mergeCell ref="A36:G36"/>
    <mergeCell ref="A44:G44"/>
    <mergeCell ref="A45:G45"/>
    <mergeCell ref="A46:G46"/>
    <mergeCell ref="A47:G47"/>
    <mergeCell ref="A48:G48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54.0"/>
    <col customWidth="1" min="3" max="3" width="16.0"/>
    <col customWidth="1" min="4" max="5" width="12.0"/>
    <col customWidth="1" min="6" max="6" width="46.0"/>
    <col customWidth="1" min="7" max="26" width="8.71"/>
  </cols>
  <sheetData>
    <row r="1">
      <c r="A1" s="1" t="s">
        <v>83</v>
      </c>
    </row>
    <row r="2" ht="15.0" customHeight="1">
      <c r="A2" s="50" t="s">
        <v>84</v>
      </c>
    </row>
    <row r="3" ht="15.0" customHeight="1">
      <c r="A3" s="51" t="s">
        <v>85</v>
      </c>
    </row>
    <row r="5">
      <c r="B5" s="52" t="s">
        <v>86</v>
      </c>
      <c r="C5" s="8"/>
      <c r="D5" s="8"/>
      <c r="E5" s="8"/>
      <c r="F5" s="9"/>
    </row>
    <row r="6">
      <c r="B6" s="53" t="s">
        <v>87</v>
      </c>
      <c r="C6" s="36">
        <v>22950.0</v>
      </c>
      <c r="D6" s="54" t="s">
        <v>88</v>
      </c>
    </row>
    <row r="7">
      <c r="B7" s="55" t="s">
        <v>89</v>
      </c>
      <c r="C7" s="56">
        <f>C6/$C$24</f>
        <v>1043.181818</v>
      </c>
    </row>
    <row r="9">
      <c r="B9" s="52" t="s">
        <v>90</v>
      </c>
      <c r="C9" s="8"/>
      <c r="D9" s="8"/>
      <c r="E9" s="8"/>
      <c r="F9" s="9"/>
    </row>
    <row r="10">
      <c r="B10" s="53" t="s">
        <v>91</v>
      </c>
      <c r="C10" s="57">
        <v>1.0</v>
      </c>
    </row>
    <row r="11">
      <c r="B11" s="53" t="s">
        <v>92</v>
      </c>
      <c r="C11" s="57">
        <v>0.0</v>
      </c>
    </row>
    <row r="12">
      <c r="B12" s="53" t="s">
        <v>93</v>
      </c>
      <c r="C12" s="57">
        <v>0.0</v>
      </c>
    </row>
    <row r="13">
      <c r="B13" s="58" t="s">
        <v>94</v>
      </c>
      <c r="C13" s="59" t="str">
        <f>IF(ROUND(C10+C11+C12,4)=1,"✓ Splits sum to 100%","⚠ Must sum to 100% — now "&amp;TEXT((C10+C11+C12)*100,"0")&amp;"%")</f>
        <v>✓ Splits sum to 100%</v>
      </c>
    </row>
    <row r="15">
      <c r="B15" s="54" t="s">
        <v>95</v>
      </c>
    </row>
    <row r="16">
      <c r="B16" s="60" t="s">
        <v>96</v>
      </c>
      <c r="C16" s="60" t="s">
        <v>97</v>
      </c>
      <c r="D16" s="60" t="s">
        <v>98</v>
      </c>
      <c r="E16" s="60" t="s">
        <v>99</v>
      </c>
      <c r="F16" s="60" t="s">
        <v>100</v>
      </c>
    </row>
    <row r="17">
      <c r="B17" s="55" t="s">
        <v>101</v>
      </c>
      <c r="C17" s="55" t="s">
        <v>102</v>
      </c>
      <c r="D17" s="55" t="s">
        <v>103</v>
      </c>
      <c r="E17" s="55" t="s">
        <v>103</v>
      </c>
      <c r="F17" s="61" t="s">
        <v>104</v>
      </c>
    </row>
    <row r="18">
      <c r="B18" s="55" t="s">
        <v>105</v>
      </c>
      <c r="C18" s="55" t="s">
        <v>106</v>
      </c>
      <c r="D18" s="55" t="s">
        <v>103</v>
      </c>
      <c r="E18" s="55" t="s">
        <v>107</v>
      </c>
      <c r="F18" s="61" t="s">
        <v>108</v>
      </c>
    </row>
    <row r="19">
      <c r="B19" s="55" t="s">
        <v>109</v>
      </c>
      <c r="C19" s="55" t="s">
        <v>107</v>
      </c>
      <c r="D19" s="55" t="s">
        <v>110</v>
      </c>
      <c r="E19" s="55" t="s">
        <v>111</v>
      </c>
      <c r="F19" s="61" t="s">
        <v>112</v>
      </c>
    </row>
    <row r="20">
      <c r="B20" s="55" t="s">
        <v>113</v>
      </c>
      <c r="C20" s="55" t="s">
        <v>111</v>
      </c>
      <c r="D20" s="55" t="s">
        <v>103</v>
      </c>
      <c r="E20" s="55" t="s">
        <v>114</v>
      </c>
      <c r="F20" s="61" t="s">
        <v>115</v>
      </c>
    </row>
    <row r="21" ht="15.75" customHeight="1">
      <c r="B21" s="55" t="s">
        <v>116</v>
      </c>
      <c r="C21" s="55" t="s">
        <v>103</v>
      </c>
      <c r="D21" s="55" t="s">
        <v>102</v>
      </c>
      <c r="E21" s="55" t="s">
        <v>103</v>
      </c>
      <c r="F21" s="61" t="s">
        <v>117</v>
      </c>
    </row>
    <row r="22" ht="15.75" customHeight="1"/>
    <row r="23" ht="15.75" customHeight="1">
      <c r="B23" s="52" t="s">
        <v>118</v>
      </c>
      <c r="C23" s="8"/>
      <c r="D23" s="8"/>
      <c r="E23" s="8"/>
      <c r="F23" s="9"/>
    </row>
    <row r="24" ht="15.75" customHeight="1">
      <c r="B24" s="55" t="s">
        <v>119</v>
      </c>
      <c r="C24" s="62">
        <v>22.0</v>
      </c>
    </row>
    <row r="25" ht="15.75" customHeight="1">
      <c r="B25" s="55" t="s">
        <v>120</v>
      </c>
      <c r="C25" s="63">
        <v>3.0</v>
      </c>
    </row>
    <row r="26" ht="15.75" customHeight="1">
      <c r="B26" s="55" t="s">
        <v>121</v>
      </c>
      <c r="C26" s="63">
        <v>15.0</v>
      </c>
    </row>
    <row r="27" ht="15.75" customHeight="1">
      <c r="B27" s="55" t="s">
        <v>122</v>
      </c>
      <c r="C27" s="64">
        <v>3.5</v>
      </c>
    </row>
    <row r="28" ht="15.75" customHeight="1">
      <c r="B28" s="55" t="s">
        <v>123</v>
      </c>
      <c r="C28" s="63">
        <v>3.0</v>
      </c>
    </row>
    <row r="29" ht="15.75" customHeight="1">
      <c r="B29" s="55" t="s">
        <v>124</v>
      </c>
      <c r="C29" s="63">
        <v>10.0</v>
      </c>
    </row>
    <row r="30" ht="15.75" customHeight="1">
      <c r="B30" s="55" t="s">
        <v>125</v>
      </c>
      <c r="C30" s="64">
        <v>3.5</v>
      </c>
    </row>
    <row r="31" ht="15.75" customHeight="1">
      <c r="B31" s="55" t="s">
        <v>126</v>
      </c>
      <c r="C31" s="63">
        <v>50.0</v>
      </c>
    </row>
    <row r="32" ht="15.75" customHeight="1">
      <c r="B32" s="55" t="s">
        <v>127</v>
      </c>
      <c r="C32" s="63">
        <v>2.0</v>
      </c>
    </row>
    <row r="33" ht="15.75" customHeight="1">
      <c r="B33" s="55" t="s">
        <v>128</v>
      </c>
      <c r="C33" s="64">
        <v>0.6</v>
      </c>
    </row>
    <row r="34" ht="15.75" customHeight="1">
      <c r="B34" s="55" t="s">
        <v>129</v>
      </c>
      <c r="C34" s="64">
        <v>3.5</v>
      </c>
    </row>
    <row r="35" ht="15.75" customHeight="1">
      <c r="B35" s="55" t="s">
        <v>130</v>
      </c>
      <c r="C35" s="64">
        <v>10.0</v>
      </c>
    </row>
    <row r="36" ht="15.75" customHeight="1">
      <c r="B36" s="65" t="s">
        <v>131</v>
      </c>
      <c r="C36" s="66"/>
    </row>
    <row r="37" ht="15.75" customHeight="1"/>
    <row r="38" ht="15.75" customHeight="1">
      <c r="B38" s="52" t="s">
        <v>132</v>
      </c>
      <c r="C38" s="8"/>
      <c r="D38" s="8"/>
      <c r="E38" s="8"/>
      <c r="F38" s="9"/>
    </row>
    <row r="39" ht="15.75" customHeight="1">
      <c r="B39" s="55" t="s">
        <v>133</v>
      </c>
      <c r="C39" s="56">
        <f>C7*$C$10</f>
        <v>1043.181818</v>
      </c>
    </row>
    <row r="40" ht="15.75" customHeight="1">
      <c r="B40" s="55" t="s">
        <v>134</v>
      </c>
      <c r="C40" s="56">
        <f>ROUNDUP(C39/$C$26,0)</f>
        <v>70</v>
      </c>
    </row>
    <row r="41" ht="15.75" customHeight="1">
      <c r="B41" s="55" t="s">
        <v>135</v>
      </c>
      <c r="C41" s="56">
        <f>ROUNDUP(C40/$C$25,0)</f>
        <v>24</v>
      </c>
    </row>
    <row r="42" ht="15.75" customHeight="1">
      <c r="B42" s="55" t="s">
        <v>136</v>
      </c>
      <c r="C42" s="67">
        <f>C40*$C$27</f>
        <v>245</v>
      </c>
    </row>
    <row r="43" ht="15.75" customHeight="1">
      <c r="B43" s="55" t="s">
        <v>137</v>
      </c>
      <c r="C43" s="67">
        <f>C41*$C$34/3</f>
        <v>28</v>
      </c>
    </row>
    <row r="44" ht="15.75" customHeight="1">
      <c r="B44" s="55" t="s">
        <v>138</v>
      </c>
      <c r="C44" s="67">
        <f>C41*$C$35/3</f>
        <v>80</v>
      </c>
    </row>
    <row r="45" ht="15.75" customHeight="1"/>
    <row r="46" ht="15.75" customHeight="1">
      <c r="B46" s="52" t="s">
        <v>139</v>
      </c>
      <c r="C46" s="8"/>
      <c r="D46" s="8"/>
      <c r="E46" s="8"/>
      <c r="F46" s="9"/>
    </row>
    <row r="47" ht="15.75" customHeight="1">
      <c r="B47" s="55" t="s">
        <v>140</v>
      </c>
      <c r="C47" s="56">
        <f>C7*$C$11</f>
        <v>0</v>
      </c>
    </row>
    <row r="48" ht="15.75" customHeight="1">
      <c r="B48" s="55" t="s">
        <v>134</v>
      </c>
      <c r="C48" s="56">
        <f>ROUNDUP(C47/$C$29,0)</f>
        <v>0</v>
      </c>
    </row>
    <row r="49" ht="15.75" customHeight="1">
      <c r="B49" s="55" t="s">
        <v>135</v>
      </c>
      <c r="C49" s="56">
        <f>ROUNDUP(C48/$C$28,0)</f>
        <v>0</v>
      </c>
    </row>
    <row r="50" ht="15.75" customHeight="1">
      <c r="B50" s="55" t="s">
        <v>136</v>
      </c>
      <c r="C50" s="67">
        <f>C48*$C$30</f>
        <v>0</v>
      </c>
    </row>
    <row r="51" ht="15.75" customHeight="1">
      <c r="B51" s="55" t="s">
        <v>137</v>
      </c>
      <c r="C51" s="67">
        <f>C49*$C$34/3</f>
        <v>0</v>
      </c>
    </row>
    <row r="52" ht="15.75" customHeight="1">
      <c r="B52" s="55" t="s">
        <v>138</v>
      </c>
      <c r="C52" s="67">
        <f>C49*$C$35/3</f>
        <v>0</v>
      </c>
    </row>
    <row r="53" ht="15.75" customHeight="1"/>
    <row r="54" ht="15.75" customHeight="1">
      <c r="B54" s="52" t="s">
        <v>141</v>
      </c>
      <c r="C54" s="8"/>
      <c r="D54" s="8"/>
      <c r="E54" s="8"/>
      <c r="F54" s="9"/>
    </row>
    <row r="55" ht="15.75" customHeight="1">
      <c r="B55" s="55" t="s">
        <v>142</v>
      </c>
      <c r="C55" s="56">
        <f>C7*$C$12</f>
        <v>0</v>
      </c>
    </row>
    <row r="56" ht="15.75" customHeight="1">
      <c r="B56" s="55" t="s">
        <v>134</v>
      </c>
      <c r="C56" s="56">
        <f>ROUNDUP(C55/$C$32,0)</f>
        <v>0</v>
      </c>
    </row>
    <row r="57" ht="15.75" customHeight="1">
      <c r="B57" s="55" t="s">
        <v>135</v>
      </c>
      <c r="C57" s="56">
        <f>ROUNDUP(C56/$C$31,0)</f>
        <v>0</v>
      </c>
    </row>
    <row r="58" ht="15.75" customHeight="1">
      <c r="B58" s="55" t="s">
        <v>136</v>
      </c>
      <c r="C58" s="67">
        <f>C56*$C$33</f>
        <v>0</v>
      </c>
    </row>
    <row r="59" ht="15.75" customHeight="1">
      <c r="B59" s="55" t="s">
        <v>137</v>
      </c>
      <c r="C59" s="67">
        <f>C57*$C$34/3</f>
        <v>0</v>
      </c>
    </row>
    <row r="60" ht="15.75" customHeight="1">
      <c r="B60" s="55" t="s">
        <v>138</v>
      </c>
      <c r="C60" s="67">
        <f>C57*$C$35/3</f>
        <v>0</v>
      </c>
    </row>
    <row r="61" ht="15.75" customHeight="1"/>
    <row r="62" ht="15.75" customHeight="1">
      <c r="B62" s="52" t="s">
        <v>143</v>
      </c>
      <c r="C62" s="8"/>
      <c r="D62" s="8"/>
      <c r="E62" s="8"/>
      <c r="F62" s="9"/>
    </row>
    <row r="63" ht="15.75" customHeight="1">
      <c r="B63" s="55" t="s">
        <v>144</v>
      </c>
      <c r="C63" s="64">
        <v>97.0</v>
      </c>
    </row>
    <row r="64" ht="15.75" customHeight="1">
      <c r="B64" s="68" t="s">
        <v>145</v>
      </c>
      <c r="C64" s="64">
        <v>446.0</v>
      </c>
    </row>
    <row r="65" ht="15.75" customHeight="1">
      <c r="B65" s="68" t="s">
        <v>146</v>
      </c>
      <c r="C65" s="67">
        <f>C6/30000*300</f>
        <v>229.5</v>
      </c>
    </row>
    <row r="66" ht="15.75" customHeight="1"/>
    <row r="67" ht="15.75" customHeight="1">
      <c r="B67" s="69" t="s">
        <v>147</v>
      </c>
      <c r="C67" s="8"/>
      <c r="D67" s="8"/>
      <c r="E67" s="8"/>
      <c r="F67" s="9"/>
    </row>
    <row r="68" ht="15.75" customHeight="1">
      <c r="B68" s="70" t="s">
        <v>148</v>
      </c>
      <c r="C68" s="71">
        <f>C42+C43+C50+C51+C58+C59+C63+C64+C65</f>
        <v>1045.5</v>
      </c>
    </row>
    <row r="69" ht="15.75" customHeight="1">
      <c r="B69" s="70" t="s">
        <v>149</v>
      </c>
      <c r="C69" s="71">
        <f>C42+C44+C50+C52+C58+C60+C63+C64+C65</f>
        <v>1097.5</v>
      </c>
    </row>
    <row r="70" ht="15.75" customHeight="1"/>
    <row r="71" ht="114.75" customHeight="1">
      <c r="B71" s="49" t="s">
        <v>81</v>
      </c>
      <c r="C71" s="46"/>
      <c r="D71" s="46"/>
      <c r="E71" s="46"/>
      <c r="F71" s="47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46:F46"/>
    <mergeCell ref="B54:F54"/>
    <mergeCell ref="B62:F62"/>
    <mergeCell ref="B67:F67"/>
    <mergeCell ref="B71:F71"/>
    <mergeCell ref="A1:F1"/>
    <mergeCell ref="A2:F2"/>
    <mergeCell ref="A3:F3"/>
    <mergeCell ref="B5:F5"/>
    <mergeCell ref="B9:F9"/>
    <mergeCell ref="B23:F23"/>
    <mergeCell ref="B38:F38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56.0"/>
    <col customWidth="1" min="3" max="3" width="16.0"/>
    <col customWidth="1" min="4" max="4" width="52.0"/>
    <col customWidth="1" min="5" max="6" width="8.71"/>
  </cols>
  <sheetData>
    <row r="1" ht="21.75" customHeight="1">
      <c r="A1" s="1" t="s">
        <v>150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54" t="s">
        <v>151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0" customHeight="1">
      <c r="A3" s="72" t="s">
        <v>152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2"/>
      <c r="B5" s="73" t="s">
        <v>153</v>
      </c>
      <c r="C5" s="46"/>
      <c r="D5" s="47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17.75" customHeight="1">
      <c r="A6" s="2"/>
      <c r="B6" s="74" t="s">
        <v>154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2"/>
      <c r="B8" s="73" t="s">
        <v>86</v>
      </c>
      <c r="C8" s="46"/>
      <c r="D8" s="4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2"/>
      <c r="B9" s="75" t="s">
        <v>87</v>
      </c>
      <c r="C9" s="76">
        <v>30000.0</v>
      </c>
      <c r="D9" s="77" t="s">
        <v>88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2"/>
      <c r="B10" s="78" t="s">
        <v>89</v>
      </c>
      <c r="C10" s="79">
        <f>C9/$C$18</f>
        <v>1000</v>
      </c>
      <c r="D10" s="77" t="s">
        <v>155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2"/>
      <c r="B12" s="73" t="s">
        <v>156</v>
      </c>
      <c r="C12" s="46"/>
      <c r="D12" s="47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2"/>
      <c r="B13" s="75" t="s">
        <v>91</v>
      </c>
      <c r="C13" s="80">
        <v>1.0</v>
      </c>
      <c r="D13" s="77" t="s">
        <v>157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2"/>
      <c r="B14" s="75" t="s">
        <v>93</v>
      </c>
      <c r="C14" s="80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2"/>
      <c r="B15" s="78" t="s">
        <v>94</v>
      </c>
      <c r="C15" s="78" t="str">
        <f>IF(C13+C14=1,"✓ Splits sum to 100%","⚠ Splits must sum to 100% — currently "&amp;TEXT((C13+C14)*100,"0")&amp;"%")</f>
        <v>✓ Splits sum to 100%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2"/>
      <c r="B17" s="73" t="s">
        <v>158</v>
      </c>
      <c r="C17" s="46"/>
      <c r="D17" s="47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2"/>
      <c r="B18" s="78" t="s">
        <v>119</v>
      </c>
      <c r="C18" s="81">
        <v>30.0</v>
      </c>
      <c r="D18" s="77" t="s">
        <v>159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2"/>
      <c r="B19" s="78" t="s">
        <v>120</v>
      </c>
      <c r="C19" s="81">
        <v>3.0</v>
      </c>
      <c r="D19" s="77" t="s">
        <v>160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2"/>
      <c r="B20" s="78" t="s">
        <v>121</v>
      </c>
      <c r="C20" s="81">
        <v>15.0</v>
      </c>
      <c r="D20" s="77" t="s">
        <v>161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"/>
      <c r="B21" s="78" t="s">
        <v>122</v>
      </c>
      <c r="C21" s="82">
        <v>3.5</v>
      </c>
      <c r="D21" s="77" t="s">
        <v>162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78" t="s">
        <v>126</v>
      </c>
      <c r="C22" s="81">
        <v>50.0</v>
      </c>
      <c r="D22" s="77" t="s">
        <v>163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78" t="s">
        <v>127</v>
      </c>
      <c r="C23" s="81">
        <v>2.0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78" t="s">
        <v>128</v>
      </c>
      <c r="C24" s="82">
        <v>0.6</v>
      </c>
      <c r="D24" s="77" t="s">
        <v>164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78" t="s">
        <v>165</v>
      </c>
      <c r="C25" s="82">
        <v>3.5</v>
      </c>
      <c r="D25" s="77" t="s">
        <v>166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78" t="s">
        <v>167</v>
      </c>
      <c r="C26" s="82">
        <v>10.0</v>
      </c>
      <c r="D26" s="77" t="s">
        <v>168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75" t="s">
        <v>169</v>
      </c>
      <c r="C27" s="83">
        <v>2.0</v>
      </c>
      <c r="D27" s="77" t="s">
        <v>170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84" t="s">
        <v>171</v>
      </c>
      <c r="C29" s="46"/>
      <c r="D29" s="47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78" t="s">
        <v>133</v>
      </c>
      <c r="C30" s="79">
        <f>C10*$C$13</f>
        <v>1000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78" t="s">
        <v>172</v>
      </c>
      <c r="C31" s="79">
        <f>ROUNDUP(C30/$C$20,0)</f>
        <v>67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78" t="s">
        <v>173</v>
      </c>
      <c r="C32" s="79">
        <f>ROUNDUP(C31/$C$19,0)</f>
        <v>23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78" t="s">
        <v>174</v>
      </c>
      <c r="C33" s="85">
        <f>C31*$C$21</f>
        <v>234.5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78" t="s">
        <v>175</v>
      </c>
      <c r="C34" s="85">
        <f>C32*$C$25</f>
        <v>80.5</v>
      </c>
      <c r="D34" s="77" t="s">
        <v>176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78" t="s">
        <v>177</v>
      </c>
      <c r="C35" s="85">
        <f>C32*$C$26</f>
        <v>230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84" t="s">
        <v>178</v>
      </c>
      <c r="C37" s="46"/>
      <c r="D37" s="47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78" t="s">
        <v>142</v>
      </c>
      <c r="C38" s="79">
        <f>C10*$C$14</f>
        <v>0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78" t="s">
        <v>172</v>
      </c>
      <c r="C39" s="79">
        <f>ROUNDUP(C38/$C$23,0)</f>
        <v>0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78" t="s">
        <v>173</v>
      </c>
      <c r="C40" s="79">
        <f>ROUNDUP(C39/$C$22,0)</f>
        <v>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78" t="s">
        <v>174</v>
      </c>
      <c r="C41" s="85">
        <f>C39*$C$24</f>
        <v>0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78" t="s">
        <v>175</v>
      </c>
      <c r="C42" s="85">
        <f>C40*$C$25</f>
        <v>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78" t="s">
        <v>177</v>
      </c>
      <c r="C43" s="85">
        <f>C40*$C$26</f>
        <v>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73" t="s">
        <v>179</v>
      </c>
      <c r="C45" s="46"/>
      <c r="D45" s="47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78" t="s">
        <v>180</v>
      </c>
      <c r="C46" s="85">
        <f t="shared" ref="C46:C48" si="1">C33+C41</f>
        <v>234.5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78" t="s">
        <v>181</v>
      </c>
      <c r="C47" s="85">
        <f t="shared" si="1"/>
        <v>80.5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78" t="s">
        <v>182</v>
      </c>
      <c r="C48" s="85">
        <f t="shared" si="1"/>
        <v>230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78" t="s">
        <v>183</v>
      </c>
      <c r="C49" s="85">
        <f>C46+C47</f>
        <v>315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78" t="s">
        <v>184</v>
      </c>
      <c r="C50" s="86">
        <f>C27</f>
        <v>2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75" t="s">
        <v>185</v>
      </c>
      <c r="C51" s="85">
        <f t="shared" ref="C51:C53" si="2">C46*$C$27</f>
        <v>469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75" t="s">
        <v>186</v>
      </c>
      <c r="C52" s="85">
        <f t="shared" si="2"/>
        <v>161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75" t="s">
        <v>187</v>
      </c>
      <c r="C53" s="85">
        <f t="shared" si="2"/>
        <v>460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87" t="s">
        <v>188</v>
      </c>
      <c r="C54" s="88">
        <f>C51+C52</f>
        <v>630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87" t="s">
        <v>189</v>
      </c>
      <c r="C55" s="88">
        <f>C51+C53</f>
        <v>929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84" t="s">
        <v>190</v>
      </c>
      <c r="C57" s="46"/>
      <c r="D57" s="47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75" t="s">
        <v>191</v>
      </c>
      <c r="C58" s="89">
        <v>200.0</v>
      </c>
      <c r="D58" s="77" t="s">
        <v>192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75" t="s">
        <v>193</v>
      </c>
      <c r="C59" s="89">
        <v>600.0</v>
      </c>
      <c r="D59" s="77" t="s">
        <v>192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78" t="s">
        <v>194</v>
      </c>
      <c r="C60" s="90">
        <f>C58+C59</f>
        <v>800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78" t="s">
        <v>184</v>
      </c>
      <c r="C61" s="86">
        <f>C27</f>
        <v>2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91" t="s">
        <v>195</v>
      </c>
      <c r="C62" s="92">
        <f>(C58+C59)*C27</f>
        <v>1600</v>
      </c>
      <c r="D62" s="77" t="s">
        <v>196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84" t="s">
        <v>197</v>
      </c>
      <c r="C64" s="46"/>
      <c r="D64" s="47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78" t="s">
        <v>144</v>
      </c>
      <c r="C65" s="93">
        <v>97.0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78" t="s">
        <v>198</v>
      </c>
      <c r="C66" s="93">
        <v>446.0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78" t="s">
        <v>199</v>
      </c>
      <c r="C67" s="85">
        <f>C9/30000*300</f>
        <v>300</v>
      </c>
      <c r="D67" s="77" t="s">
        <v>200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94" t="s">
        <v>201</v>
      </c>
      <c r="C69" s="46"/>
      <c r="D69" s="47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87" t="s">
        <v>148</v>
      </c>
      <c r="C70" s="88">
        <f>C54+C65+C66+C67</f>
        <v>1473</v>
      </c>
      <c r="D70" s="77" t="s">
        <v>202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87" t="s">
        <v>149</v>
      </c>
      <c r="C71" s="88">
        <f>C55+C65+C66+C67</f>
        <v>1772</v>
      </c>
      <c r="D71" s="77" t="s">
        <v>168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84" t="s">
        <v>203</v>
      </c>
      <c r="C73" s="46"/>
      <c r="D73" s="47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78" t="s">
        <v>204</v>
      </c>
      <c r="C74" s="85">
        <f>C46+C47/3</f>
        <v>261.3333333</v>
      </c>
      <c r="D74" s="77" t="s">
        <v>205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75" t="s">
        <v>206</v>
      </c>
      <c r="C75" s="86">
        <f>C54/C74</f>
        <v>2.410714286</v>
      </c>
      <c r="D75" s="77" t="s">
        <v>207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0.0" customHeight="1">
      <c r="A77" s="2"/>
      <c r="B77" s="95" t="s">
        <v>208</v>
      </c>
      <c r="C77" s="46"/>
      <c r="D77" s="47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77" t="s">
        <v>82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8">
    <mergeCell ref="A1:E1"/>
    <mergeCell ref="A2:E2"/>
    <mergeCell ref="A3:E3"/>
    <mergeCell ref="B5:D5"/>
    <mergeCell ref="B6:D6"/>
    <mergeCell ref="B8:D8"/>
    <mergeCell ref="B12:D12"/>
    <mergeCell ref="B69:D69"/>
    <mergeCell ref="B73:D73"/>
    <mergeCell ref="B77:D77"/>
    <mergeCell ref="B82:D82"/>
    <mergeCell ref="C15:D15"/>
    <mergeCell ref="B17:D17"/>
    <mergeCell ref="B29:D29"/>
    <mergeCell ref="B37:D37"/>
    <mergeCell ref="B45:D45"/>
    <mergeCell ref="B57:D57"/>
    <mergeCell ref="B64:D64"/>
  </mergeCells>
  <printOptions/>
  <pageMargins bottom="1.0" footer="0.0" header="0.0" left="0.75" right="0.75" top="1.0"/>
  <pageSetup paperSize="9" orientation="portrait"/>
  <drawing r:id="rId1"/>
</worksheet>
</file>